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744"/>
  </bookViews>
  <sheets>
    <sheet name="1级淤泥" sheetId="27" r:id="rId1"/>
    <sheet name="2级淤泥 " sheetId="28" r:id="rId2"/>
    <sheet name="3级淤泥  " sheetId="29" r:id="rId3"/>
    <sheet name="1级填土" sheetId="30" r:id="rId4"/>
    <sheet name="5级粘土" sheetId="39" r:id="rId5"/>
    <sheet name="4级填土 " sheetId="31" r:id="rId6"/>
    <sheet name="3级粘土" sheetId="37" r:id="rId7"/>
    <sheet name="4级粘土" sheetId="38" r:id="rId8"/>
    <sheet name="6级砂" sheetId="32" r:id="rId9"/>
    <sheet name="7级砂" sheetId="33" r:id="rId10"/>
    <sheet name="8级砂" sheetId="34" r:id="rId11"/>
    <sheet name="6级碎石" sheetId="35" r:id="rId12"/>
    <sheet name="9级碎石 " sheetId="36" r:id="rId13"/>
  </sheets>
  <definedNames>
    <definedName name="_xlnm.Print_Area" localSheetId="0">'1级淤泥'!$A$1:$P$508</definedName>
    <definedName name="_xlnm.Print_Area" localSheetId="1">'2级淤泥 '!$A$1:$P$508</definedName>
    <definedName name="_xlnm.Print_Area" localSheetId="2">'3级淤泥  '!$A$1:$P$508</definedName>
    <definedName name="_xlnm.Print_Area" localSheetId="3">'1级填土'!$A$1:$P$508</definedName>
    <definedName name="_xlnm.Print_Area" localSheetId="5">'4级填土 '!$A$1:$P$508</definedName>
    <definedName name="_xlnm.Print_Area" localSheetId="8">'6级砂'!$A$1:$P$508</definedName>
    <definedName name="_xlnm.Print_Area" localSheetId="9">'7级砂'!$A$1:$P$508</definedName>
    <definedName name="_xlnm.Print_Area" localSheetId="10">'8级砂'!$A$1:$P$508</definedName>
    <definedName name="_xlnm.Print_Area" localSheetId="11">'6级碎石'!$A$1:$P$508</definedName>
    <definedName name="_xlnm.Print_Area" localSheetId="12">'9级碎石 '!$A$1:$P$508</definedName>
    <definedName name="_xlnm.Print_Area" localSheetId="6">'3级粘土'!$A$1:$P$508</definedName>
    <definedName name="_xlnm.Print_Area" localSheetId="7">'4级粘土'!$A$1:$P$508</definedName>
    <definedName name="_xlnm.Print_Area" localSheetId="4">'5级粘土'!$A$1:$P$508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<sst xmlns="http://schemas.openxmlformats.org/spreadsheetml/2006/main" count="3679" uniqueCount="311">
  <si>
    <t>北海港铁山港20万吨级航道工程（啄罗作业区至石头埠作业区段）施工1标段</t>
  </si>
  <si>
    <t>疏浚工程量计算表</t>
  </si>
  <si>
    <t>业主单位：北海市路港建设投资开发有限公司                       监理单位：广州华申建设工程管理有限公司</t>
  </si>
  <si>
    <t xml:space="preserve">施工单位：中交广州航道局有限公司                                           测量日期：2026年2月25日     </t>
  </si>
  <si>
    <t>序号</t>
  </si>
  <si>
    <r>
      <rPr>
        <sz val="10.5"/>
        <rFont val="等线"/>
        <charset val="134"/>
      </rPr>
      <t>桩号</t>
    </r>
  </si>
  <si>
    <r>
      <rPr>
        <sz val="10.5"/>
        <rFont val="等线"/>
        <charset val="134"/>
      </rPr>
      <t>间距</t>
    </r>
    <r>
      <rPr>
        <sz val="10.5"/>
        <rFont val="Times New Roman"/>
        <charset val="134"/>
      </rPr>
      <t>(m)</t>
    </r>
  </si>
  <si>
    <t>1级淤泥设计工程量</t>
  </si>
  <si>
    <t>1级淤泥上期剩余工程量</t>
  </si>
  <si>
    <r>
      <rPr>
        <sz val="10.5"/>
        <rFont val="Times New Roman"/>
        <charset val="134"/>
      </rPr>
      <t>1</t>
    </r>
    <r>
      <rPr>
        <sz val="10.5"/>
        <rFont val="宋体"/>
        <charset val="134"/>
      </rPr>
      <t>级淤泥本期剩余工程量</t>
    </r>
  </si>
  <si>
    <t>本期完成工程量(m³)</t>
  </si>
  <si>
    <r>
      <rPr>
        <sz val="10.5"/>
        <rFont val="等线"/>
        <charset val="134"/>
      </rPr>
      <t>开挖</t>
    </r>
  </si>
  <si>
    <r>
      <rPr>
        <sz val="10.5"/>
        <rFont val="等线"/>
        <charset val="134"/>
      </rPr>
      <t>超挖</t>
    </r>
  </si>
  <si>
    <r>
      <rPr>
        <sz val="10.5"/>
        <rFont val="等线"/>
        <charset val="134"/>
      </rPr>
      <t>⾯积</t>
    </r>
    <r>
      <rPr>
        <sz val="10.5"/>
        <rFont val="Times New Roman"/>
        <charset val="134"/>
      </rPr>
      <t>(m²)</t>
    </r>
  </si>
  <si>
    <r>
      <rPr>
        <sz val="10.5"/>
        <rFont val="等线"/>
        <charset val="134"/>
      </rPr>
      <t>工程量</t>
    </r>
    <r>
      <rPr>
        <sz val="10.5"/>
        <rFont val="Times New Roman"/>
        <charset val="134"/>
      </rPr>
      <t>(m³)</t>
    </r>
  </si>
  <si>
    <r>
      <rPr>
        <sz val="10.5"/>
        <rFont val="等线"/>
        <charset val="134"/>
      </rPr>
      <t>体积</t>
    </r>
    <r>
      <rPr>
        <sz val="10.5"/>
        <rFont val="Times New Roman"/>
        <charset val="134"/>
      </rPr>
      <t>(m³)</t>
    </r>
  </si>
  <si>
    <t>K67+400</t>
  </si>
  <si>
    <t>K67+425</t>
  </si>
  <si>
    <t>K67+450</t>
  </si>
  <si>
    <t>K67+475</t>
  </si>
  <si>
    <t>K67+500</t>
  </si>
  <si>
    <t>K67+525</t>
  </si>
  <si>
    <t>K67+550</t>
  </si>
  <si>
    <t>K67+575</t>
  </si>
  <si>
    <t>K67+600</t>
  </si>
  <si>
    <t>K67+625</t>
  </si>
  <si>
    <t>K67+650</t>
  </si>
  <si>
    <t>K67+675</t>
  </si>
  <si>
    <t>K67+700</t>
  </si>
  <si>
    <t>K67+725</t>
  </si>
  <si>
    <t>K67+750</t>
  </si>
  <si>
    <t>K67+775</t>
  </si>
  <si>
    <t>K67+800</t>
  </si>
  <si>
    <t>K67+825</t>
  </si>
  <si>
    <t>K67+850</t>
  </si>
  <si>
    <t>K67+875</t>
  </si>
  <si>
    <t>K67+900</t>
  </si>
  <si>
    <t>K67+925</t>
  </si>
  <si>
    <t>K67+950</t>
  </si>
  <si>
    <t>K67+975</t>
  </si>
  <si>
    <t>K68+000</t>
  </si>
  <si>
    <t>K68+025</t>
  </si>
  <si>
    <t>K68+050</t>
  </si>
  <si>
    <t>K68+075</t>
  </si>
  <si>
    <t>K68+100</t>
  </si>
  <si>
    <t>K68+125</t>
  </si>
  <si>
    <t>K68+150</t>
  </si>
  <si>
    <t>K68+175</t>
  </si>
  <si>
    <t>K68+200</t>
  </si>
  <si>
    <t>K68+225</t>
  </si>
  <si>
    <t>K68+250</t>
  </si>
  <si>
    <t>K68+275</t>
  </si>
  <si>
    <t>K68+300</t>
  </si>
  <si>
    <t>K68+325</t>
  </si>
  <si>
    <t>K68+350</t>
  </si>
  <si>
    <t>K68+375</t>
  </si>
  <si>
    <t>K68+400</t>
  </si>
  <si>
    <t>K68+425</t>
  </si>
  <si>
    <t>K68+450</t>
  </si>
  <si>
    <t>K68+475</t>
  </si>
  <si>
    <t>K68+500</t>
  </si>
  <si>
    <t>K68+525</t>
  </si>
  <si>
    <t>K68+550</t>
  </si>
  <si>
    <t>K68+575</t>
  </si>
  <si>
    <t>K68+600</t>
  </si>
  <si>
    <t>K68+625</t>
  </si>
  <si>
    <t>K68+650</t>
  </si>
  <si>
    <t>K68+675</t>
  </si>
  <si>
    <t>K68+700</t>
  </si>
  <si>
    <t>K68+725</t>
  </si>
  <si>
    <t>K68+750</t>
  </si>
  <si>
    <t>K68+775</t>
  </si>
  <si>
    <t>K68+800</t>
  </si>
  <si>
    <t>K68+825</t>
  </si>
  <si>
    <t>K68+850</t>
  </si>
  <si>
    <t>K68+875</t>
  </si>
  <si>
    <t>K68+900</t>
  </si>
  <si>
    <t>K68+925</t>
  </si>
  <si>
    <t>K68+950</t>
  </si>
  <si>
    <t>K68+975</t>
  </si>
  <si>
    <t>K69+000</t>
  </si>
  <si>
    <t>K69+025</t>
  </si>
  <si>
    <t>K69+050</t>
  </si>
  <si>
    <t>K69+075</t>
  </si>
  <si>
    <t>K69+100</t>
  </si>
  <si>
    <t>K69+125</t>
  </si>
  <si>
    <t>K69+150</t>
  </si>
  <si>
    <t>K69+175</t>
  </si>
  <si>
    <t>K69+200</t>
  </si>
  <si>
    <t>K69+225</t>
  </si>
  <si>
    <t>K69+250</t>
  </si>
  <si>
    <t>K69+275</t>
  </si>
  <si>
    <t>K69+300</t>
  </si>
  <si>
    <t>K69+325</t>
  </si>
  <si>
    <t>K69+350</t>
  </si>
  <si>
    <t>K69+375</t>
  </si>
  <si>
    <t>K69+400</t>
  </si>
  <si>
    <t>K69+425</t>
  </si>
  <si>
    <t>K69+450</t>
  </si>
  <si>
    <t>K69+475</t>
  </si>
  <si>
    <t>K69+500</t>
  </si>
  <si>
    <t>K69+525</t>
  </si>
  <si>
    <t>K69+550</t>
  </si>
  <si>
    <t>K69+575</t>
  </si>
  <si>
    <t>K69+600</t>
  </si>
  <si>
    <t>K69+625</t>
  </si>
  <si>
    <t>K69+650</t>
  </si>
  <si>
    <t>K69+675</t>
  </si>
  <si>
    <t>K69+700</t>
  </si>
  <si>
    <t>K69+725</t>
  </si>
  <si>
    <t>K69+750</t>
  </si>
  <si>
    <t>K69+775</t>
  </si>
  <si>
    <t>K69+800</t>
  </si>
  <si>
    <t>K69+825</t>
  </si>
  <si>
    <t>K69+850</t>
  </si>
  <si>
    <t>K69+875</t>
  </si>
  <si>
    <t>K69+900</t>
  </si>
  <si>
    <t>K69+925</t>
  </si>
  <si>
    <t>K69+950</t>
  </si>
  <si>
    <t>K69+975</t>
  </si>
  <si>
    <t>K70+000</t>
  </si>
  <si>
    <t>K70+025</t>
  </si>
  <si>
    <t>K70+050</t>
  </si>
  <si>
    <t>K70+075</t>
  </si>
  <si>
    <t>K70+100</t>
  </si>
  <si>
    <t>K70+125</t>
  </si>
  <si>
    <t>K70+150</t>
  </si>
  <si>
    <t>K70+175</t>
  </si>
  <si>
    <t>K70+200</t>
  </si>
  <si>
    <t>K70+225</t>
  </si>
  <si>
    <t>K70+250</t>
  </si>
  <si>
    <t>K70+275</t>
  </si>
  <si>
    <t>K70+300</t>
  </si>
  <si>
    <t>K70+325</t>
  </si>
  <si>
    <t>K70+350</t>
  </si>
  <si>
    <t>K70+375</t>
  </si>
  <si>
    <t>K70+400</t>
  </si>
  <si>
    <t>K70+425</t>
  </si>
  <si>
    <t>K70+450</t>
  </si>
  <si>
    <t>K70+475</t>
  </si>
  <si>
    <t>K70+500</t>
  </si>
  <si>
    <t>K70+525</t>
  </si>
  <si>
    <t>K70+550</t>
  </si>
  <si>
    <t>K70+575</t>
  </si>
  <si>
    <t>K70+600</t>
  </si>
  <si>
    <t>K70+625</t>
  </si>
  <si>
    <t>K70+650</t>
  </si>
  <si>
    <t>K70+675</t>
  </si>
  <si>
    <t>K70+700</t>
  </si>
  <si>
    <t>K70+725</t>
  </si>
  <si>
    <t>K70+750</t>
  </si>
  <si>
    <t>K70+775</t>
  </si>
  <si>
    <t>K70+800</t>
  </si>
  <si>
    <t>K70+825</t>
  </si>
  <si>
    <t>K70+850</t>
  </si>
  <si>
    <t>K70+875</t>
  </si>
  <si>
    <t>K70+900</t>
  </si>
  <si>
    <t>K70+925</t>
  </si>
  <si>
    <t>K70+950</t>
  </si>
  <si>
    <t>K70+975</t>
  </si>
  <si>
    <t>K71+000</t>
  </si>
  <si>
    <t>K71+025</t>
  </si>
  <si>
    <t>K71+050</t>
  </si>
  <si>
    <t>K71+075</t>
  </si>
  <si>
    <t>K71+100</t>
  </si>
  <si>
    <t>K71+125</t>
  </si>
  <si>
    <t>K71+150</t>
  </si>
  <si>
    <t>K71+175</t>
  </si>
  <si>
    <t>K71+200</t>
  </si>
  <si>
    <t>K71+225</t>
  </si>
  <si>
    <t>K71+250</t>
  </si>
  <si>
    <t>K71+275</t>
  </si>
  <si>
    <t>K71+300</t>
  </si>
  <si>
    <t>K71+325</t>
  </si>
  <si>
    <t>K71+350</t>
  </si>
  <si>
    <t>K71+375</t>
  </si>
  <si>
    <t>K71+400</t>
  </si>
  <si>
    <t>K71+425</t>
  </si>
  <si>
    <t>K71+450</t>
  </si>
  <si>
    <t>K71+475</t>
  </si>
  <si>
    <t>K71+500</t>
  </si>
  <si>
    <t>K71+525</t>
  </si>
  <si>
    <t>K71+550</t>
  </si>
  <si>
    <t>K71+575</t>
  </si>
  <si>
    <t>K71+600</t>
  </si>
  <si>
    <t>K71+625</t>
  </si>
  <si>
    <t>K71+650</t>
  </si>
  <si>
    <t>K71+675</t>
  </si>
  <si>
    <t>K71+700</t>
  </si>
  <si>
    <t>K71+725</t>
  </si>
  <si>
    <t>K71+750</t>
  </si>
  <si>
    <t>K71+775</t>
  </si>
  <si>
    <t>K71+800</t>
  </si>
  <si>
    <t>K71+825</t>
  </si>
  <si>
    <t>K71+850</t>
  </si>
  <si>
    <t>K71+875</t>
  </si>
  <si>
    <t>K71+900</t>
  </si>
  <si>
    <t>K71+925</t>
  </si>
  <si>
    <t>K71+950</t>
  </si>
  <si>
    <t>K71+975</t>
  </si>
  <si>
    <t>K72+000</t>
  </si>
  <si>
    <t>K72+025</t>
  </si>
  <si>
    <t>K72+050</t>
  </si>
  <si>
    <t>K72+075</t>
  </si>
  <si>
    <t>K72+100</t>
  </si>
  <si>
    <t>K72+125</t>
  </si>
  <si>
    <t>K72+150</t>
  </si>
  <si>
    <t>K72+175</t>
  </si>
  <si>
    <t>K72+200</t>
  </si>
  <si>
    <t>K72+225</t>
  </si>
  <si>
    <t>K72+250</t>
  </si>
  <si>
    <t>K72+275</t>
  </si>
  <si>
    <t>K72+300</t>
  </si>
  <si>
    <t>K72+325</t>
  </si>
  <si>
    <t>K72+350</t>
  </si>
  <si>
    <t>K72+375</t>
  </si>
  <si>
    <t>K72+400</t>
  </si>
  <si>
    <t>K72+425</t>
  </si>
  <si>
    <t>K72+450</t>
  </si>
  <si>
    <t>K72+475</t>
  </si>
  <si>
    <t>K72+500</t>
  </si>
  <si>
    <t>K72+525</t>
  </si>
  <si>
    <t>K72+550</t>
  </si>
  <si>
    <t>K72+575</t>
  </si>
  <si>
    <t>K72+600</t>
  </si>
  <si>
    <t>K72+625</t>
  </si>
  <si>
    <t>K72+650</t>
  </si>
  <si>
    <t>K72+675</t>
  </si>
  <si>
    <t>K72+700</t>
  </si>
  <si>
    <t>K72+725</t>
  </si>
  <si>
    <t>K72+750</t>
  </si>
  <si>
    <t>K72+775</t>
  </si>
  <si>
    <t>K72+800</t>
  </si>
  <si>
    <t>K72+825</t>
  </si>
  <si>
    <t>K72+850</t>
  </si>
  <si>
    <t>K72+875</t>
  </si>
  <si>
    <t>K72+900</t>
  </si>
  <si>
    <t>K72+925</t>
  </si>
  <si>
    <t>K72+950</t>
  </si>
  <si>
    <t>K72+975</t>
  </si>
  <si>
    <t>K73+000</t>
  </si>
  <si>
    <t>K73+025</t>
  </si>
  <si>
    <t>K73+050</t>
  </si>
  <si>
    <t>K73+075</t>
  </si>
  <si>
    <t>K73+100</t>
  </si>
  <si>
    <t>K73+125</t>
  </si>
  <si>
    <t>K73+150</t>
  </si>
  <si>
    <t>K73+175</t>
  </si>
  <si>
    <t>K73+200</t>
  </si>
  <si>
    <t>K73+225</t>
  </si>
  <si>
    <t>K73+250</t>
  </si>
  <si>
    <t>K73+275</t>
  </si>
  <si>
    <t>K73+300</t>
  </si>
  <si>
    <t>K73+325</t>
  </si>
  <si>
    <t>K73+350</t>
  </si>
  <si>
    <t>K73+375</t>
  </si>
  <si>
    <t>K73+400</t>
  </si>
  <si>
    <t>K73+425</t>
  </si>
  <si>
    <t>K73+450</t>
  </si>
  <si>
    <t>K73+475</t>
  </si>
  <si>
    <t>K73+500</t>
  </si>
  <si>
    <t>合计</t>
  </si>
  <si>
    <r>
      <rPr>
        <b/>
        <sz val="11"/>
        <color theme="1"/>
        <rFont val="宋体"/>
        <charset val="134"/>
        <scheme val="minor"/>
      </rPr>
      <t>说明：</t>
    </r>
    <r>
      <rPr>
        <sz val="11"/>
        <color theme="1"/>
        <rFont val="宋体"/>
        <charset val="134"/>
        <scheme val="minor"/>
      </rPr>
      <t xml:space="preserve">1、上表采用HYPACK断面法计算，工程量单位为m³；                                                                                                                                                                                                            </t>
    </r>
  </si>
  <si>
    <t xml:space="preserve">2、设计断面工程量=两个相邻设计断面平均面积*两个相邻设计断面间距；                                                                                                                                                                                    </t>
  </si>
  <si>
    <t xml:space="preserve">3、设计工程量计算依据：航道疏浚工程量计算书；                                                                                                                                                        </t>
  </si>
  <si>
    <t>4、开挖量以设计工程量为依据，超过设计超挖深度不计量；                                                                                                                                                                                        。</t>
  </si>
  <si>
    <t xml:space="preserve">5、工程量计算依据：本期计量桩号为K67+700-71+800，数据采用2026年1月21日进度测量水深数据；                                                                                                                                                    </t>
  </si>
  <si>
    <t>6、本段设计底标高为-18.5m，设计开挖边坡：淤泥土类取1:7，粘性土类取1:3，其余土质取1:5，淤泥类土、填土及砂土超深0.55m，超宽单边6m；粘性土类超深0.6m，超宽单边4m；</t>
  </si>
  <si>
    <t>7、1级淤泥本期开挖工程量=1级淤泥上期剩余工程量-1级淤泥本期剩余工程量=2513147.83+233194.89-2307557.63-233194.25=209674.72m³。</t>
  </si>
  <si>
    <t>计算：                                                                                审核：</t>
  </si>
  <si>
    <t>2级淤泥设计工程量</t>
  </si>
  <si>
    <t>2级淤泥上期剩余工程量</t>
  </si>
  <si>
    <t>2级淤泥本期剩余工程量</t>
  </si>
  <si>
    <t>7、2级淤泥本期开挖工程量=2级淤泥上期剩余工程量-2级淤泥本期剩余工程量=786300.14+111376.97-748074.67-111376.97=38225.47m³。</t>
  </si>
  <si>
    <t>3级淤泥设计工程量</t>
  </si>
  <si>
    <t>3级淤泥上期剩余工程量</t>
  </si>
  <si>
    <t>3级淤泥本期剩余工程量</t>
  </si>
  <si>
    <t>7、3级淤泥本期开挖工程量=3级淤泥上期剩余工程量-3级淤泥本期剩余工程量=217798.42+25072.88-211793.31-25072.88=6005.11m³。</t>
  </si>
  <si>
    <t>1级填土设计工程量</t>
  </si>
  <si>
    <t>1级填土上期剩余工程量</t>
  </si>
  <si>
    <t>1级填土本期剩余工程量</t>
  </si>
  <si>
    <t>7、1级填土本期开挖工程量=1级填土上期剩余工程量-1级填土本期剩余工程量=51177.47+6052.53-50932.47-6052.53=245.0m³。</t>
  </si>
  <si>
    <t>5级粘土设计工程量</t>
  </si>
  <si>
    <t>5级粘土上期剩余工程量</t>
  </si>
  <si>
    <t>5级粘土本期剩余工程量</t>
  </si>
  <si>
    <t>7、5级粘土本期开挖工程量=5级粘土上期剩余工程量-5级粘土本期剩余工程量=1915032.48+614434.53-1887455.54-614434.53=27576.94m³。</t>
  </si>
  <si>
    <t>4级填土设计工程量</t>
  </si>
  <si>
    <t>4级填土上期剩余工程量</t>
  </si>
  <si>
    <t>4级填土本期剩余工程量</t>
  </si>
  <si>
    <t>7、1级淤泥本期开挖工程量=1级淤泥上期剩余工程量-1级淤泥本期剩余工程量=1572049.33+133816.99-1431101.80-133816.49=140948.03m³。</t>
  </si>
  <si>
    <t>3级粘土设计工程量</t>
  </si>
  <si>
    <t>3级粘土上期剩余工程量</t>
  </si>
  <si>
    <t>3级粘土本期剩余工程量</t>
  </si>
  <si>
    <t>4级粘土设计工程量</t>
  </si>
  <si>
    <t>4级粘土上期剩余工程量</t>
  </si>
  <si>
    <t>4级粘土本期剩余工程量</t>
  </si>
  <si>
    <t>6级砂设计工程量</t>
  </si>
  <si>
    <t>6级砂上期剩余工程量</t>
  </si>
  <si>
    <t>6级砂本期剩余工程量</t>
  </si>
  <si>
    <t>7级砂设计工程量</t>
  </si>
  <si>
    <t>7级砂上期剩余工程量</t>
  </si>
  <si>
    <t>7级砂本期剩余工程量</t>
  </si>
  <si>
    <t>8级砂设计工程量</t>
  </si>
  <si>
    <t>8级砂上期剩余工程量</t>
  </si>
  <si>
    <t>8级砂本期剩余工程量</t>
  </si>
  <si>
    <t>6级碎石设计工程量</t>
  </si>
  <si>
    <t>6级碎石上期剩余工程量</t>
  </si>
  <si>
    <t>6级碎石本期剩余工程量</t>
  </si>
  <si>
    <t>9级碎石设计工程量</t>
  </si>
  <si>
    <t>9级碎石上期剩余工程量</t>
  </si>
  <si>
    <t>9级碎石本期剩余工程量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</si>
</sst>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0"/>
      <color rgb="FF000000"/>
      <name val="Times New Roman"/>
      <charset val="20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.5"/>
      <name val="等线"/>
      <charset val="134"/>
    </font>
    <font>
      <sz val="10.5"/>
      <name val="Times New Roman"/>
      <charset val="134"/>
    </font>
    <font>
      <sz val="10.5"/>
      <name val="宋体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0"/>
      <name val="Times New Roman"/>
      <charset val="20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4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7"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shrinkToFit="1"/>
    </xf>
    <xf numFmtId="1" fontId="8" fillId="0" borderId="5" xfId="0" applyNumberFormat="1" applyFont="1" applyFill="1" applyBorder="1" applyAlignment="1">
      <alignment horizontal="center" vertical="center" shrinkToFit="1"/>
    </xf>
    <xf numFmtId="176" fontId="8" fillId="0" borderId="6" xfId="0" applyNumberFormat="1" applyFont="1" applyBorder="1" applyAlignment="1">
      <alignment horizontal="center" vertical="center" shrinkToFit="1"/>
    </xf>
    <xf numFmtId="176" fontId="8" fillId="0" borderId="7" xfId="0" applyNumberFormat="1" applyFont="1" applyBorder="1" applyAlignment="1">
      <alignment horizontal="center" vertical="center" shrinkToFit="1"/>
    </xf>
    <xf numFmtId="176" fontId="8" fillId="0" borderId="8" xfId="0" applyNumberFormat="1" applyFont="1" applyBorder="1" applyAlignment="1">
      <alignment horizontal="center" vertical="center" shrinkToFit="1"/>
    </xf>
    <xf numFmtId="176" fontId="0" fillId="0" borderId="5" xfId="0" applyNumberFormat="1" applyFont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 shrinkToFit="1"/>
    </xf>
    <xf numFmtId="176" fontId="0" fillId="0" borderId="7" xfId="0" applyNumberFormat="1" applyFont="1" applyBorder="1" applyAlignment="1">
      <alignment horizontal="center" vertical="center"/>
    </xf>
    <xf numFmtId="1" fontId="8" fillId="0" borderId="8" xfId="0" applyNumberFormat="1" applyFont="1" applyFill="1" applyBorder="1" applyAlignment="1">
      <alignment horizontal="center" vertical="center" shrinkToFit="1"/>
    </xf>
    <xf numFmtId="176" fontId="0" fillId="0" borderId="8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 shrinkToFit="1"/>
    </xf>
    <xf numFmtId="176" fontId="0" fillId="0" borderId="10" xfId="0" applyNumberFormat="1" applyFont="1" applyFill="1" applyBorder="1" applyAlignment="1">
      <alignment horizontal="center" vertical="center"/>
    </xf>
    <xf numFmtId="176" fontId="0" fillId="0" borderId="10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shrinkToFit="1"/>
    </xf>
    <xf numFmtId="176" fontId="8" fillId="0" borderId="5" xfId="0" applyNumberFormat="1" applyFont="1" applyBorder="1" applyAlignment="1">
      <alignment vertical="center" shrinkToFi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top"/>
    </xf>
    <xf numFmtId="176" fontId="0" fillId="2" borderId="5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top"/>
    </xf>
    <xf numFmtId="176" fontId="7" fillId="0" borderId="5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176" fontId="8" fillId="3" borderId="5" xfId="0" applyNumberFormat="1" applyFont="1" applyFill="1" applyBorder="1" applyAlignment="1">
      <alignment horizontal="center" vertical="center" shrinkToFit="1"/>
    </xf>
    <xf numFmtId="0" fontId="11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P509"/>
  <sheetViews>
    <sheetView tabSelected="1" view="pageBreakPreview" zoomScale="110" zoomScaleNormal="100" workbookViewId="0">
      <pane xSplit="2" ySplit="9" topLeftCell="C10" activePane="bottomRight" state="frozen"/>
      <selection/>
      <selection pane="topRight"/>
      <selection pane="bottomLeft"/>
      <selection pane="bottomRight" activeCell="S339" sqref="S339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8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39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9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39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9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40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40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7" t="s">
        <v>7</v>
      </c>
      <c r="E7" s="7"/>
      <c r="F7" s="7"/>
      <c r="G7" s="7"/>
      <c r="H7" s="7" t="s">
        <v>8</v>
      </c>
      <c r="I7" s="7"/>
      <c r="J7" s="7"/>
      <c r="K7" s="7"/>
      <c r="L7" s="53" t="s">
        <v>9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42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42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>
        <v>0</v>
      </c>
      <c r="I10" s="13"/>
      <c r="J10" s="17">
        <v>0</v>
      </c>
      <c r="K10" s="13"/>
      <c r="L10" s="43">
        <v>0</v>
      </c>
      <c r="M10" s="11"/>
      <c r="N10" s="17">
        <v>0</v>
      </c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>
        <v>0</v>
      </c>
      <c r="J11" s="17"/>
      <c r="K11" s="17">
        <v>0</v>
      </c>
      <c r="L11" s="43"/>
      <c r="M11" s="17">
        <v>0</v>
      </c>
      <c r="N11" s="17"/>
      <c r="O11" s="17">
        <v>0</v>
      </c>
      <c r="P11" s="19">
        <f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>
        <v>0</v>
      </c>
      <c r="I12" s="17"/>
      <c r="J12" s="17">
        <v>0</v>
      </c>
      <c r="K12" s="17"/>
      <c r="L12" s="43">
        <v>0</v>
      </c>
      <c r="M12" s="17"/>
      <c r="N12" s="17">
        <v>0</v>
      </c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>
        <v>0</v>
      </c>
      <c r="J13" s="17"/>
      <c r="K13" s="17">
        <v>0</v>
      </c>
      <c r="L13" s="43"/>
      <c r="M13" s="17">
        <v>0</v>
      </c>
      <c r="N13" s="17"/>
      <c r="O13" s="17">
        <v>0</v>
      </c>
      <c r="P13" s="19">
        <f>I13+K13-M13-O13</f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>
        <v>0</v>
      </c>
      <c r="I14" s="17"/>
      <c r="J14" s="17">
        <v>0</v>
      </c>
      <c r="K14" s="17"/>
      <c r="L14" s="43">
        <v>0</v>
      </c>
      <c r="M14" s="17"/>
      <c r="N14" s="17">
        <v>0</v>
      </c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>
        <v>0</v>
      </c>
      <c r="J15" s="17"/>
      <c r="K15" s="17">
        <v>0</v>
      </c>
      <c r="L15" s="43"/>
      <c r="M15" s="17">
        <v>0</v>
      </c>
      <c r="N15" s="17"/>
      <c r="O15" s="17">
        <v>0</v>
      </c>
      <c r="P15" s="19">
        <f>I15+K15-M15-O15</f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>
        <v>0</v>
      </c>
      <c r="I16" s="17"/>
      <c r="J16" s="17">
        <v>0</v>
      </c>
      <c r="K16" s="17"/>
      <c r="L16" s="43">
        <v>0</v>
      </c>
      <c r="M16" s="17"/>
      <c r="N16" s="17">
        <v>0</v>
      </c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>
        <v>0</v>
      </c>
      <c r="J17" s="17"/>
      <c r="K17" s="17">
        <v>0</v>
      </c>
      <c r="L17" s="43"/>
      <c r="M17" s="17">
        <v>0</v>
      </c>
      <c r="N17" s="17"/>
      <c r="O17" s="17">
        <v>0</v>
      </c>
      <c r="P17" s="19">
        <f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>
        <v>0</v>
      </c>
      <c r="I18" s="17"/>
      <c r="J18" s="17">
        <v>0</v>
      </c>
      <c r="K18" s="17"/>
      <c r="L18" s="43">
        <v>0</v>
      </c>
      <c r="M18" s="17"/>
      <c r="N18" s="17">
        <v>0</v>
      </c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306.42</v>
      </c>
      <c r="F19" s="17"/>
      <c r="G19" s="17">
        <v>91.24</v>
      </c>
      <c r="H19" s="17"/>
      <c r="I19" s="17">
        <v>306.42</v>
      </c>
      <c r="J19" s="17"/>
      <c r="K19" s="17">
        <v>91.24</v>
      </c>
      <c r="L19" s="43"/>
      <c r="M19" s="17">
        <v>306.42</v>
      </c>
      <c r="N19" s="17"/>
      <c r="O19" s="17">
        <v>91.24</v>
      </c>
      <c r="P19" s="19">
        <f>I19+K19-M19-O19</f>
        <v>0</v>
      </c>
    </row>
    <row r="20" ht="12" customHeight="1" spans="1:16">
      <c r="A20" s="14">
        <v>6</v>
      </c>
      <c r="B20" s="15" t="s">
        <v>21</v>
      </c>
      <c r="C20" s="18"/>
      <c r="D20" s="16">
        <v>24.51</v>
      </c>
      <c r="E20" s="17"/>
      <c r="F20" s="17">
        <v>7.3</v>
      </c>
      <c r="G20" s="17"/>
      <c r="H20" s="17">
        <v>24.51</v>
      </c>
      <c r="I20" s="17"/>
      <c r="J20" s="17">
        <v>7.3</v>
      </c>
      <c r="K20" s="17"/>
      <c r="L20" s="43">
        <v>24.51</v>
      </c>
      <c r="M20" s="17"/>
      <c r="N20" s="17">
        <v>7.3</v>
      </c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1096.06</v>
      </c>
      <c r="F21" s="17"/>
      <c r="G21" s="17">
        <v>219.92</v>
      </c>
      <c r="H21" s="17"/>
      <c r="I21" s="17">
        <v>1096.06</v>
      </c>
      <c r="J21" s="17"/>
      <c r="K21" s="17">
        <v>219.92</v>
      </c>
      <c r="L21" s="43"/>
      <c r="M21" s="17">
        <v>1096.06</v>
      </c>
      <c r="N21" s="17"/>
      <c r="O21" s="17">
        <v>219.92</v>
      </c>
      <c r="P21" s="19">
        <f>I21+K21-M21-O21</f>
        <v>0</v>
      </c>
    </row>
    <row r="22" ht="12" customHeight="1" spans="1:16">
      <c r="A22" s="14">
        <v>7</v>
      </c>
      <c r="B22" s="15" t="s">
        <v>22</v>
      </c>
      <c r="C22" s="18"/>
      <c r="D22" s="16">
        <v>63.17</v>
      </c>
      <c r="E22" s="17"/>
      <c r="F22" s="17">
        <v>10.29</v>
      </c>
      <c r="G22" s="17"/>
      <c r="H22" s="17">
        <v>63.17</v>
      </c>
      <c r="I22" s="17"/>
      <c r="J22" s="17">
        <v>10.29</v>
      </c>
      <c r="K22" s="17"/>
      <c r="L22" s="43">
        <v>63.17</v>
      </c>
      <c r="M22" s="17"/>
      <c r="N22" s="17">
        <v>10.29</v>
      </c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1581.7</v>
      </c>
      <c r="F23" s="17"/>
      <c r="G23" s="17">
        <v>271.4</v>
      </c>
      <c r="H23" s="17"/>
      <c r="I23" s="17">
        <v>1581.7</v>
      </c>
      <c r="J23" s="17"/>
      <c r="K23" s="17">
        <v>271.4</v>
      </c>
      <c r="L23" s="43"/>
      <c r="M23" s="17">
        <v>1581.7</v>
      </c>
      <c r="N23" s="17"/>
      <c r="O23" s="17">
        <v>271.4</v>
      </c>
      <c r="P23" s="19">
        <f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63.36</v>
      </c>
      <c r="E24" s="17"/>
      <c r="F24" s="17">
        <v>11.42</v>
      </c>
      <c r="G24" s="17"/>
      <c r="H24" s="17">
        <v>63.36</v>
      </c>
      <c r="I24" s="17"/>
      <c r="J24" s="17">
        <v>11.42</v>
      </c>
      <c r="K24" s="17"/>
      <c r="L24" s="43">
        <v>63.36</v>
      </c>
      <c r="M24" s="17"/>
      <c r="N24" s="17">
        <v>11.42</v>
      </c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2450.52</v>
      </c>
      <c r="F25" s="17"/>
      <c r="G25" s="17">
        <v>641.49</v>
      </c>
      <c r="H25" s="17"/>
      <c r="I25" s="17">
        <v>2450.52</v>
      </c>
      <c r="J25" s="17"/>
      <c r="K25" s="17">
        <v>641.49</v>
      </c>
      <c r="L25" s="43"/>
      <c r="M25" s="17">
        <v>2450.52</v>
      </c>
      <c r="N25" s="17"/>
      <c r="O25" s="17">
        <v>641.49</v>
      </c>
      <c r="P25" s="19">
        <f>I25+K25-M25-O25</f>
        <v>0</v>
      </c>
    </row>
    <row r="26" ht="12" customHeight="1" spans="1:16">
      <c r="A26" s="14">
        <v>9</v>
      </c>
      <c r="B26" s="15" t="s">
        <v>24</v>
      </c>
      <c r="C26" s="18"/>
      <c r="D26" s="16">
        <v>132.68</v>
      </c>
      <c r="E26" s="17"/>
      <c r="F26" s="17">
        <v>39.9</v>
      </c>
      <c r="G26" s="17"/>
      <c r="H26" s="17">
        <v>132.68</v>
      </c>
      <c r="I26" s="17"/>
      <c r="J26" s="17">
        <v>39.9</v>
      </c>
      <c r="K26" s="17"/>
      <c r="L26" s="43">
        <v>132.68</v>
      </c>
      <c r="M26" s="17"/>
      <c r="N26" s="17">
        <v>39.9</v>
      </c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3187.87</v>
      </c>
      <c r="F27" s="17"/>
      <c r="G27" s="17">
        <v>1019.55</v>
      </c>
      <c r="H27" s="17"/>
      <c r="I27" s="17">
        <v>3187.87</v>
      </c>
      <c r="J27" s="17"/>
      <c r="K27" s="17">
        <v>1019.55</v>
      </c>
      <c r="L27" s="43"/>
      <c r="M27" s="17">
        <v>3187.87</v>
      </c>
      <c r="N27" s="17"/>
      <c r="O27" s="17">
        <v>1019.55</v>
      </c>
      <c r="P27" s="19">
        <f>I27+K27-M27-O27</f>
        <v>0</v>
      </c>
    </row>
    <row r="28" ht="12" customHeight="1" spans="1:16">
      <c r="A28" s="14">
        <v>10</v>
      </c>
      <c r="B28" s="15" t="s">
        <v>25</v>
      </c>
      <c r="C28" s="18"/>
      <c r="D28" s="16">
        <v>122.35</v>
      </c>
      <c r="E28" s="17"/>
      <c r="F28" s="17">
        <v>41.66</v>
      </c>
      <c r="G28" s="17"/>
      <c r="H28" s="17">
        <v>122.35</v>
      </c>
      <c r="I28" s="17"/>
      <c r="J28" s="17">
        <v>41.66</v>
      </c>
      <c r="K28" s="17"/>
      <c r="L28" s="43">
        <v>122.35</v>
      </c>
      <c r="M28" s="17"/>
      <c r="N28" s="17">
        <v>41.66</v>
      </c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2986.45</v>
      </c>
      <c r="F29" s="17"/>
      <c r="G29" s="17">
        <v>1025.51</v>
      </c>
      <c r="H29" s="17"/>
      <c r="I29" s="17">
        <v>2986.45</v>
      </c>
      <c r="J29" s="17"/>
      <c r="K29" s="17">
        <v>1025.51</v>
      </c>
      <c r="L29" s="43"/>
      <c r="M29" s="17">
        <v>2986.45</v>
      </c>
      <c r="N29" s="17"/>
      <c r="O29" s="17">
        <v>1025.51</v>
      </c>
      <c r="P29" s="19">
        <f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116.56</v>
      </c>
      <c r="E30" s="17"/>
      <c r="F30" s="17">
        <v>40.38</v>
      </c>
      <c r="G30" s="17"/>
      <c r="H30" s="17">
        <v>116.56</v>
      </c>
      <c r="I30" s="17"/>
      <c r="J30" s="17">
        <v>40.38</v>
      </c>
      <c r="K30" s="17"/>
      <c r="L30" s="43">
        <v>116.56</v>
      </c>
      <c r="M30" s="17"/>
      <c r="N30" s="17">
        <v>40.38</v>
      </c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2678.26</v>
      </c>
      <c r="F31" s="17"/>
      <c r="G31" s="17">
        <v>973.33</v>
      </c>
      <c r="H31" s="17"/>
      <c r="I31" s="17">
        <v>2678.26</v>
      </c>
      <c r="J31" s="17"/>
      <c r="K31" s="17">
        <v>973.33</v>
      </c>
      <c r="L31" s="43"/>
      <c r="M31" s="17">
        <v>2678.26</v>
      </c>
      <c r="N31" s="17"/>
      <c r="O31" s="17">
        <v>973.33</v>
      </c>
      <c r="P31" s="19">
        <f>I31+K31-M31-O31</f>
        <v>0</v>
      </c>
    </row>
    <row r="32" ht="12" customHeight="1" spans="1:16">
      <c r="A32" s="14">
        <v>12</v>
      </c>
      <c r="B32" s="15" t="s">
        <v>27</v>
      </c>
      <c r="C32" s="18"/>
      <c r="D32" s="16">
        <v>97.7</v>
      </c>
      <c r="E32" s="17"/>
      <c r="F32" s="17">
        <v>37.49</v>
      </c>
      <c r="G32" s="17"/>
      <c r="H32" s="17">
        <v>97.7</v>
      </c>
      <c r="I32" s="17"/>
      <c r="J32" s="17">
        <v>37.49</v>
      </c>
      <c r="K32" s="17"/>
      <c r="L32" s="43">
        <v>97.7</v>
      </c>
      <c r="M32" s="17"/>
      <c r="N32" s="17">
        <v>37.49</v>
      </c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1994.96</v>
      </c>
      <c r="F33" s="17"/>
      <c r="G33" s="20">
        <v>819.19</v>
      </c>
      <c r="H33" s="17"/>
      <c r="I33" s="20">
        <v>1994.96</v>
      </c>
      <c r="J33" s="17"/>
      <c r="K33" s="20">
        <v>819.19</v>
      </c>
      <c r="L33" s="43"/>
      <c r="M33" s="17">
        <v>1994.96</v>
      </c>
      <c r="N33" s="17"/>
      <c r="O33" s="17">
        <v>819.19</v>
      </c>
      <c r="P33" s="19">
        <f>I33+K33-M33-O33</f>
        <v>0</v>
      </c>
    </row>
    <row r="34" ht="12" customHeight="1" spans="1:16">
      <c r="A34" s="14">
        <v>13</v>
      </c>
      <c r="B34" s="15" t="s">
        <v>28</v>
      </c>
      <c r="C34" s="18"/>
      <c r="D34" s="16">
        <v>61.9</v>
      </c>
      <c r="E34" s="21"/>
      <c r="F34" s="17">
        <v>28.05</v>
      </c>
      <c r="G34" s="21"/>
      <c r="H34" s="16">
        <v>61.9</v>
      </c>
      <c r="I34" s="21"/>
      <c r="J34" s="17">
        <v>28.05</v>
      </c>
      <c r="K34" s="21"/>
      <c r="L34" s="43">
        <v>61.9</v>
      </c>
      <c r="M34" s="17"/>
      <c r="N34" s="17">
        <v>28.05</v>
      </c>
      <c r="O34" s="17"/>
      <c r="P34" s="19"/>
    </row>
    <row r="35" ht="12" customHeight="1" spans="1:16">
      <c r="A35" s="14"/>
      <c r="B35" s="15"/>
      <c r="C35" s="18">
        <v>25</v>
      </c>
      <c r="D35" s="16"/>
      <c r="E35" s="17">
        <v>1711.09</v>
      </c>
      <c r="F35" s="17"/>
      <c r="G35" s="17">
        <v>749.75</v>
      </c>
      <c r="H35" s="16"/>
      <c r="I35" s="17">
        <v>1711.09</v>
      </c>
      <c r="J35" s="17"/>
      <c r="K35" s="17">
        <v>749.75</v>
      </c>
      <c r="L35" s="43"/>
      <c r="M35" s="17">
        <v>1711.09</v>
      </c>
      <c r="N35" s="17"/>
      <c r="O35" s="17">
        <v>749.75</v>
      </c>
      <c r="P35" s="19">
        <f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74.99</v>
      </c>
      <c r="E36" s="17"/>
      <c r="F36" s="17">
        <v>31.93</v>
      </c>
      <c r="G36" s="17"/>
      <c r="H36" s="16">
        <v>74.99</v>
      </c>
      <c r="I36" s="17"/>
      <c r="J36" s="17">
        <v>31.93</v>
      </c>
      <c r="K36" s="17"/>
      <c r="L36" s="43">
        <v>74.99</v>
      </c>
      <c r="M36" s="17"/>
      <c r="N36" s="17">
        <v>31.93</v>
      </c>
      <c r="O36" s="17"/>
      <c r="P36" s="19"/>
    </row>
    <row r="37" ht="12" customHeight="1" spans="1:16">
      <c r="A37" s="14"/>
      <c r="B37" s="15"/>
      <c r="C37" s="18">
        <v>25</v>
      </c>
      <c r="D37" s="16"/>
      <c r="E37" s="17">
        <v>1578.75</v>
      </c>
      <c r="F37" s="17"/>
      <c r="G37" s="17">
        <v>570.31</v>
      </c>
      <c r="H37" s="16"/>
      <c r="I37" s="17">
        <v>1578.75</v>
      </c>
      <c r="J37" s="17"/>
      <c r="K37" s="17">
        <v>570.31</v>
      </c>
      <c r="L37" s="43"/>
      <c r="M37" s="17">
        <v>1578.75</v>
      </c>
      <c r="N37" s="17"/>
      <c r="O37" s="17">
        <v>570.31</v>
      </c>
      <c r="P37" s="19">
        <f>I37+K37-M37-O37</f>
        <v>0</v>
      </c>
    </row>
    <row r="38" ht="12" customHeight="1" spans="1:16">
      <c r="A38" s="14">
        <v>15</v>
      </c>
      <c r="B38" s="15" t="s">
        <v>30</v>
      </c>
      <c r="C38" s="18"/>
      <c r="D38" s="16">
        <v>51.31</v>
      </c>
      <c r="E38" s="17"/>
      <c r="F38" s="17">
        <v>13.69</v>
      </c>
      <c r="G38" s="17"/>
      <c r="H38" s="16">
        <v>51.31</v>
      </c>
      <c r="I38" s="17"/>
      <c r="J38" s="17">
        <v>13.69</v>
      </c>
      <c r="K38" s="17"/>
      <c r="L38" s="43">
        <v>51.31</v>
      </c>
      <c r="M38" s="17"/>
      <c r="N38" s="17">
        <v>13.69</v>
      </c>
      <c r="O38" s="17"/>
      <c r="P38" s="19"/>
    </row>
    <row r="39" ht="12" customHeight="1" spans="1:16">
      <c r="A39" s="14"/>
      <c r="B39" s="15"/>
      <c r="C39" s="18">
        <v>25</v>
      </c>
      <c r="D39" s="16"/>
      <c r="E39" s="17">
        <v>1389.27</v>
      </c>
      <c r="F39" s="17"/>
      <c r="G39" s="17">
        <v>330.44</v>
      </c>
      <c r="H39" s="16"/>
      <c r="I39" s="17">
        <v>1389.27</v>
      </c>
      <c r="J39" s="17"/>
      <c r="K39" s="17">
        <v>330.44</v>
      </c>
      <c r="L39" s="43"/>
      <c r="M39" s="17">
        <v>1389.27</v>
      </c>
      <c r="N39" s="17"/>
      <c r="O39" s="17">
        <v>330.44</v>
      </c>
      <c r="P39" s="19">
        <f>I39+K39-M39-O39</f>
        <v>0</v>
      </c>
    </row>
    <row r="40" ht="12" customHeight="1" spans="1:16">
      <c r="A40" s="14">
        <v>16</v>
      </c>
      <c r="B40" s="15" t="s">
        <v>31</v>
      </c>
      <c r="C40" s="18"/>
      <c r="D40" s="16">
        <v>59.83</v>
      </c>
      <c r="E40" s="17"/>
      <c r="F40" s="17">
        <v>12.74</v>
      </c>
      <c r="G40" s="17"/>
      <c r="H40" s="16">
        <v>59.83</v>
      </c>
      <c r="I40" s="17"/>
      <c r="J40" s="17">
        <v>12.74</v>
      </c>
      <c r="K40" s="17"/>
      <c r="L40" s="43">
        <v>59.83</v>
      </c>
      <c r="M40" s="17"/>
      <c r="N40" s="17">
        <v>12.74</v>
      </c>
      <c r="O40" s="17"/>
      <c r="P40" s="19"/>
    </row>
    <row r="41" ht="12" customHeight="1" spans="1:16">
      <c r="A41" s="14"/>
      <c r="B41" s="15"/>
      <c r="C41" s="18">
        <v>25</v>
      </c>
      <c r="D41" s="16"/>
      <c r="E41" s="17">
        <v>1550.08</v>
      </c>
      <c r="F41" s="17"/>
      <c r="G41" s="17">
        <v>344.99</v>
      </c>
      <c r="H41" s="16"/>
      <c r="I41" s="17">
        <v>1550.08</v>
      </c>
      <c r="J41" s="17"/>
      <c r="K41" s="17">
        <v>344.99</v>
      </c>
      <c r="L41" s="43"/>
      <c r="M41" s="17">
        <v>1550.08</v>
      </c>
      <c r="N41" s="17"/>
      <c r="O41" s="17">
        <v>344.99</v>
      </c>
      <c r="P41" s="19">
        <f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64.18</v>
      </c>
      <c r="E42" s="17"/>
      <c r="F42" s="17">
        <v>14.86</v>
      </c>
      <c r="G42" s="17"/>
      <c r="H42" s="16">
        <v>64.18</v>
      </c>
      <c r="I42" s="17"/>
      <c r="J42" s="17">
        <v>14.86</v>
      </c>
      <c r="K42" s="17"/>
      <c r="L42" s="43">
        <v>64.18</v>
      </c>
      <c r="M42" s="17"/>
      <c r="N42" s="17">
        <v>14.86</v>
      </c>
      <c r="O42" s="17"/>
      <c r="P42" s="19"/>
    </row>
    <row r="43" ht="12" customHeight="1" spans="1:16">
      <c r="A43" s="14"/>
      <c r="B43" s="15"/>
      <c r="C43" s="18">
        <v>25</v>
      </c>
      <c r="D43" s="16"/>
      <c r="E43" s="17">
        <v>1954.24</v>
      </c>
      <c r="F43" s="17"/>
      <c r="G43" s="17">
        <v>367.8</v>
      </c>
      <c r="H43" s="16"/>
      <c r="I43" s="17">
        <v>1920.88</v>
      </c>
      <c r="J43" s="17"/>
      <c r="K43" s="17">
        <v>367.88</v>
      </c>
      <c r="L43" s="43"/>
      <c r="M43" s="17">
        <v>1920.88</v>
      </c>
      <c r="N43" s="17"/>
      <c r="O43" s="17">
        <v>367.88</v>
      </c>
      <c r="P43" s="19">
        <f>I43+K43-M43-O43</f>
        <v>0</v>
      </c>
    </row>
    <row r="44" ht="12" customHeight="1" spans="1:16">
      <c r="A44" s="14">
        <v>18</v>
      </c>
      <c r="B44" s="15" t="s">
        <v>33</v>
      </c>
      <c r="C44" s="18"/>
      <c r="D44" s="16">
        <v>92.16</v>
      </c>
      <c r="E44" s="17"/>
      <c r="F44" s="17">
        <v>14.57</v>
      </c>
      <c r="G44" s="17"/>
      <c r="H44" s="16">
        <v>89.49</v>
      </c>
      <c r="I44" s="17"/>
      <c r="J44" s="17">
        <v>14.57</v>
      </c>
      <c r="K44" s="17"/>
      <c r="L44" s="43">
        <v>89.49</v>
      </c>
      <c r="M44" s="17"/>
      <c r="N44" s="17">
        <v>14.57</v>
      </c>
      <c r="O44" s="17"/>
      <c r="P44" s="19"/>
    </row>
    <row r="45" ht="12" customHeight="1" spans="1:16">
      <c r="A45" s="14"/>
      <c r="B45" s="15"/>
      <c r="C45" s="18">
        <v>25</v>
      </c>
      <c r="D45" s="16"/>
      <c r="E45" s="17">
        <v>2972.52</v>
      </c>
      <c r="F45" s="17"/>
      <c r="G45" s="17">
        <v>410.8</v>
      </c>
      <c r="H45" s="16"/>
      <c r="I45" s="17">
        <v>2468.25</v>
      </c>
      <c r="J45" s="17"/>
      <c r="K45" s="17">
        <v>410.88</v>
      </c>
      <c r="L45" s="43"/>
      <c r="M45" s="17">
        <v>2468.25</v>
      </c>
      <c r="N45" s="17"/>
      <c r="O45" s="17">
        <v>410.88</v>
      </c>
      <c r="P45" s="19">
        <f>I45+K45-M45-O45</f>
        <v>0</v>
      </c>
    </row>
    <row r="46" ht="12" customHeight="1" spans="1:16">
      <c r="A46" s="14">
        <v>19</v>
      </c>
      <c r="B46" s="15" t="s">
        <v>34</v>
      </c>
      <c r="C46" s="18"/>
      <c r="D46" s="16">
        <v>145.64</v>
      </c>
      <c r="E46" s="17"/>
      <c r="F46" s="17">
        <v>18.3</v>
      </c>
      <c r="G46" s="17"/>
      <c r="H46" s="16">
        <v>107.97</v>
      </c>
      <c r="I46" s="17"/>
      <c r="J46" s="17">
        <v>18.3</v>
      </c>
      <c r="K46" s="17"/>
      <c r="L46" s="43">
        <v>107.97</v>
      </c>
      <c r="M46" s="17"/>
      <c r="N46" s="17">
        <v>18.3</v>
      </c>
      <c r="O46" s="17"/>
      <c r="P46" s="19"/>
    </row>
    <row r="47" ht="12" customHeight="1" spans="1:16">
      <c r="A47" s="14"/>
      <c r="B47" s="15"/>
      <c r="C47" s="18">
        <v>25</v>
      </c>
      <c r="D47" s="16"/>
      <c r="E47" s="17">
        <v>2889.66</v>
      </c>
      <c r="F47" s="17"/>
      <c r="G47" s="17">
        <v>439.9</v>
      </c>
      <c r="H47" s="16"/>
      <c r="I47" s="17">
        <v>2237.36</v>
      </c>
      <c r="J47" s="17"/>
      <c r="K47" s="17">
        <v>440</v>
      </c>
      <c r="L47" s="43"/>
      <c r="M47" s="17">
        <v>2237.36</v>
      </c>
      <c r="N47" s="17"/>
      <c r="O47" s="17">
        <v>440</v>
      </c>
      <c r="P47" s="19">
        <f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85.53</v>
      </c>
      <c r="E48" s="17"/>
      <c r="F48" s="17">
        <v>16.9</v>
      </c>
      <c r="G48" s="17"/>
      <c r="H48" s="16">
        <v>71.02</v>
      </c>
      <c r="I48" s="17"/>
      <c r="J48" s="17">
        <v>16.9</v>
      </c>
      <c r="K48" s="17"/>
      <c r="L48" s="43">
        <v>71.02</v>
      </c>
      <c r="M48" s="17"/>
      <c r="N48" s="17">
        <v>16.9</v>
      </c>
      <c r="O48" s="17"/>
      <c r="P48" s="19"/>
    </row>
    <row r="49" ht="12" customHeight="1" spans="1:16">
      <c r="A49" s="14"/>
      <c r="B49" s="15"/>
      <c r="C49" s="18">
        <v>25</v>
      </c>
      <c r="D49" s="16"/>
      <c r="E49" s="17">
        <v>2018.6</v>
      </c>
      <c r="F49" s="17"/>
      <c r="G49" s="17">
        <v>434.34</v>
      </c>
      <c r="H49" s="16"/>
      <c r="I49" s="17">
        <v>1837.11</v>
      </c>
      <c r="J49" s="17"/>
      <c r="K49" s="17">
        <v>434.38</v>
      </c>
      <c r="L49" s="43"/>
      <c r="M49" s="17">
        <v>1837.11</v>
      </c>
      <c r="N49" s="17"/>
      <c r="O49" s="17">
        <v>434.38</v>
      </c>
      <c r="P49" s="19">
        <f>I49+K49-M49-O49</f>
        <v>0</v>
      </c>
    </row>
    <row r="50" ht="12" customHeight="1" spans="1:16">
      <c r="A50" s="14">
        <v>21</v>
      </c>
      <c r="B50" s="15" t="s">
        <v>36</v>
      </c>
      <c r="C50" s="18"/>
      <c r="D50" s="16">
        <v>75.95</v>
      </c>
      <c r="E50" s="17"/>
      <c r="F50" s="17">
        <v>17.85</v>
      </c>
      <c r="G50" s="17"/>
      <c r="H50" s="16">
        <v>75.95</v>
      </c>
      <c r="I50" s="17"/>
      <c r="J50" s="17">
        <v>17.85</v>
      </c>
      <c r="K50" s="17"/>
      <c r="L50" s="43">
        <v>75.95</v>
      </c>
      <c r="M50" s="17"/>
      <c r="N50" s="17">
        <v>17.85</v>
      </c>
      <c r="O50" s="17"/>
      <c r="P50" s="19"/>
    </row>
    <row r="51" ht="12" customHeight="1" spans="1:16">
      <c r="A51" s="14"/>
      <c r="B51" s="15"/>
      <c r="C51" s="18">
        <v>25</v>
      </c>
      <c r="D51" s="16"/>
      <c r="E51" s="17">
        <v>1762.58</v>
      </c>
      <c r="F51" s="17"/>
      <c r="G51" s="17">
        <v>456.48</v>
      </c>
      <c r="H51" s="16"/>
      <c r="I51" s="17">
        <v>1762.58</v>
      </c>
      <c r="J51" s="17"/>
      <c r="K51" s="17">
        <v>456.48</v>
      </c>
      <c r="L51" s="43"/>
      <c r="M51" s="17">
        <v>1762.58</v>
      </c>
      <c r="N51" s="17"/>
      <c r="O51" s="17">
        <v>456.48</v>
      </c>
      <c r="P51" s="19">
        <f>I51+K51-M51-O51</f>
        <v>0</v>
      </c>
    </row>
    <row r="52" ht="12" customHeight="1" spans="1:16">
      <c r="A52" s="14">
        <v>22</v>
      </c>
      <c r="B52" s="15" t="s">
        <v>37</v>
      </c>
      <c r="C52" s="18"/>
      <c r="D52" s="16">
        <v>65.05</v>
      </c>
      <c r="E52" s="17"/>
      <c r="F52" s="17">
        <v>18.67</v>
      </c>
      <c r="G52" s="17"/>
      <c r="H52" s="16">
        <v>65.05</v>
      </c>
      <c r="I52" s="17"/>
      <c r="J52" s="17">
        <v>18.67</v>
      </c>
      <c r="K52" s="17"/>
      <c r="L52" s="43">
        <v>65.05</v>
      </c>
      <c r="M52" s="17"/>
      <c r="N52" s="17">
        <v>18.67</v>
      </c>
      <c r="O52" s="17"/>
      <c r="P52" s="19"/>
    </row>
    <row r="53" ht="12" customHeight="1" spans="1:16">
      <c r="A53" s="14"/>
      <c r="B53" s="15"/>
      <c r="C53" s="18">
        <v>25</v>
      </c>
      <c r="D53" s="16"/>
      <c r="E53" s="17">
        <v>1564.77</v>
      </c>
      <c r="F53" s="17"/>
      <c r="G53" s="17">
        <v>402.4</v>
      </c>
      <c r="H53" s="16"/>
      <c r="I53" s="17">
        <v>1358.03</v>
      </c>
      <c r="J53" s="17"/>
      <c r="K53" s="17">
        <v>402.38</v>
      </c>
      <c r="L53" s="43"/>
      <c r="M53" s="17">
        <v>1358.03</v>
      </c>
      <c r="N53" s="17"/>
      <c r="O53" s="17">
        <v>402.38</v>
      </c>
      <c r="P53" s="19">
        <f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60.13</v>
      </c>
      <c r="E54" s="17"/>
      <c r="F54" s="17">
        <v>13.52</v>
      </c>
      <c r="G54" s="17"/>
      <c r="H54" s="16">
        <v>43.59</v>
      </c>
      <c r="I54" s="17"/>
      <c r="J54" s="17">
        <v>13.52</v>
      </c>
      <c r="K54" s="17"/>
      <c r="L54" s="43">
        <v>43.59</v>
      </c>
      <c r="M54" s="17"/>
      <c r="N54" s="17">
        <v>13.52</v>
      </c>
      <c r="O54" s="17"/>
      <c r="P54" s="19"/>
    </row>
    <row r="55" ht="12" customHeight="1" spans="1:16">
      <c r="A55" s="14"/>
      <c r="B55" s="15"/>
      <c r="C55" s="18">
        <v>25</v>
      </c>
      <c r="D55" s="16"/>
      <c r="E55" s="17">
        <v>1365.59</v>
      </c>
      <c r="F55" s="17"/>
      <c r="G55" s="17">
        <v>327.21</v>
      </c>
      <c r="H55" s="16"/>
      <c r="I55" s="17">
        <v>1158.9</v>
      </c>
      <c r="J55" s="17"/>
      <c r="K55" s="17">
        <v>327.13</v>
      </c>
      <c r="L55" s="43"/>
      <c r="M55" s="17">
        <v>1158.9</v>
      </c>
      <c r="N55" s="17"/>
      <c r="O55" s="17">
        <v>327.13</v>
      </c>
      <c r="P55" s="19">
        <f>I55+K55-M55-O55</f>
        <v>0</v>
      </c>
    </row>
    <row r="56" ht="12" customHeight="1" spans="1:16">
      <c r="A56" s="14">
        <v>24</v>
      </c>
      <c r="B56" s="15" t="s">
        <v>39</v>
      </c>
      <c r="C56" s="18"/>
      <c r="D56" s="16">
        <v>49.12</v>
      </c>
      <c r="E56" s="17"/>
      <c r="F56" s="17">
        <v>12.65</v>
      </c>
      <c r="G56" s="17"/>
      <c r="H56" s="16">
        <v>49.12</v>
      </c>
      <c r="I56" s="17"/>
      <c r="J56" s="17">
        <v>12.65</v>
      </c>
      <c r="K56" s="17"/>
      <c r="L56" s="43">
        <v>49.12</v>
      </c>
      <c r="M56" s="17"/>
      <c r="N56" s="17">
        <v>12.65</v>
      </c>
      <c r="O56" s="17"/>
      <c r="P56" s="19"/>
    </row>
    <row r="57" ht="12" customHeight="1" spans="1:16">
      <c r="A57" s="14"/>
      <c r="B57" s="15"/>
      <c r="C57" s="18">
        <v>25</v>
      </c>
      <c r="D57" s="16"/>
      <c r="E57" s="17">
        <v>955.94</v>
      </c>
      <c r="F57" s="17"/>
      <c r="G57" s="17">
        <v>282.34</v>
      </c>
      <c r="H57" s="16"/>
      <c r="I57" s="17">
        <v>955.94</v>
      </c>
      <c r="J57" s="17"/>
      <c r="K57" s="17">
        <v>282.34</v>
      </c>
      <c r="L57" s="43"/>
      <c r="M57" s="17">
        <v>955.94</v>
      </c>
      <c r="N57" s="17"/>
      <c r="O57" s="17">
        <v>282.34</v>
      </c>
      <c r="P57" s="19">
        <f>I57+K57-M57-O57</f>
        <v>0</v>
      </c>
    </row>
    <row r="58" ht="12" customHeight="1" spans="1:16">
      <c r="A58" s="14">
        <v>25</v>
      </c>
      <c r="B58" s="15" t="s">
        <v>40</v>
      </c>
      <c r="C58" s="18"/>
      <c r="D58" s="16">
        <v>27.36</v>
      </c>
      <c r="E58" s="17"/>
      <c r="F58" s="17">
        <v>9.93</v>
      </c>
      <c r="G58" s="17"/>
      <c r="H58" s="16">
        <v>27.36</v>
      </c>
      <c r="I58" s="17"/>
      <c r="J58" s="17">
        <v>9.93</v>
      </c>
      <c r="K58" s="17"/>
      <c r="L58" s="43">
        <v>27.36</v>
      </c>
      <c r="M58" s="17"/>
      <c r="N58" s="17">
        <v>9.93</v>
      </c>
      <c r="O58" s="17"/>
      <c r="P58" s="19"/>
    </row>
    <row r="59" ht="12" customHeight="1" spans="1:16">
      <c r="A59" s="14"/>
      <c r="B59" s="15"/>
      <c r="C59" s="18">
        <v>25</v>
      </c>
      <c r="D59" s="16"/>
      <c r="E59" s="17">
        <v>978.81</v>
      </c>
      <c r="F59" s="17"/>
      <c r="G59" s="17">
        <v>269.44</v>
      </c>
      <c r="H59" s="16"/>
      <c r="I59" s="17">
        <v>978.81</v>
      </c>
      <c r="J59" s="17"/>
      <c r="K59" s="17">
        <v>269.44</v>
      </c>
      <c r="L59" s="43"/>
      <c r="M59" s="17">
        <v>978.81</v>
      </c>
      <c r="N59" s="17"/>
      <c r="O59" s="17">
        <v>269.44</v>
      </c>
      <c r="P59" s="19">
        <f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50.95</v>
      </c>
      <c r="E60" s="17"/>
      <c r="F60" s="17">
        <v>11.62</v>
      </c>
      <c r="G60" s="17"/>
      <c r="H60" s="16">
        <v>50.95</v>
      </c>
      <c r="I60" s="17"/>
      <c r="J60" s="17">
        <v>11.62</v>
      </c>
      <c r="K60" s="17"/>
      <c r="L60" s="43">
        <v>50.95</v>
      </c>
      <c r="M60" s="17"/>
      <c r="N60" s="17">
        <v>11.62</v>
      </c>
      <c r="O60" s="17"/>
      <c r="P60" s="19"/>
    </row>
    <row r="61" ht="12" customHeight="1" spans="1:16">
      <c r="A61" s="14"/>
      <c r="B61" s="15"/>
      <c r="C61" s="18">
        <v>25</v>
      </c>
      <c r="D61" s="16"/>
      <c r="E61" s="17">
        <v>1235.1</v>
      </c>
      <c r="F61" s="17"/>
      <c r="G61" s="17">
        <v>292.14</v>
      </c>
      <c r="H61" s="16"/>
      <c r="I61" s="17">
        <v>1235.1</v>
      </c>
      <c r="J61" s="17"/>
      <c r="K61" s="17">
        <v>292.14</v>
      </c>
      <c r="L61" s="43"/>
      <c r="M61" s="17">
        <v>1235.1</v>
      </c>
      <c r="N61" s="17"/>
      <c r="O61" s="17">
        <v>292.14</v>
      </c>
      <c r="P61" s="19">
        <f>I61+K61-M61-O61</f>
        <v>0</v>
      </c>
    </row>
    <row r="62" ht="12" customHeight="1" spans="1:16">
      <c r="A62" s="14">
        <v>27</v>
      </c>
      <c r="B62" s="15" t="s">
        <v>42</v>
      </c>
      <c r="C62" s="18"/>
      <c r="D62" s="16">
        <v>47.86</v>
      </c>
      <c r="E62" s="17"/>
      <c r="F62" s="17">
        <v>11.75</v>
      </c>
      <c r="G62" s="17"/>
      <c r="H62" s="16">
        <v>47.86</v>
      </c>
      <c r="I62" s="17"/>
      <c r="J62" s="17">
        <v>11.75</v>
      </c>
      <c r="K62" s="17"/>
      <c r="L62" s="43">
        <v>47.86</v>
      </c>
      <c r="M62" s="17"/>
      <c r="N62" s="17">
        <v>11.75</v>
      </c>
      <c r="O62" s="17"/>
      <c r="P62" s="19"/>
    </row>
    <row r="63" ht="12" customHeight="1" spans="1:16">
      <c r="A63" s="14"/>
      <c r="B63" s="15"/>
      <c r="C63" s="18">
        <v>25</v>
      </c>
      <c r="D63" s="16"/>
      <c r="E63" s="17">
        <v>1363.95</v>
      </c>
      <c r="F63" s="17"/>
      <c r="G63" s="17">
        <v>299.1</v>
      </c>
      <c r="H63" s="16"/>
      <c r="I63" s="17">
        <v>1363.95</v>
      </c>
      <c r="J63" s="17"/>
      <c r="K63" s="17">
        <v>299.1</v>
      </c>
      <c r="L63" s="43"/>
      <c r="M63" s="17">
        <v>1363.95</v>
      </c>
      <c r="N63" s="17"/>
      <c r="O63" s="17">
        <v>299.1</v>
      </c>
      <c r="P63" s="19">
        <f>I63+K63-M63-O63</f>
        <v>0</v>
      </c>
    </row>
    <row r="64" ht="12" customHeight="1" spans="1:16">
      <c r="A64" s="14">
        <v>28</v>
      </c>
      <c r="B64" s="15" t="s">
        <v>43</v>
      </c>
      <c r="C64" s="18"/>
      <c r="D64" s="16">
        <v>61.25</v>
      </c>
      <c r="E64" s="17"/>
      <c r="F64" s="17">
        <v>12.18</v>
      </c>
      <c r="G64" s="17"/>
      <c r="H64" s="16">
        <v>61.25</v>
      </c>
      <c r="I64" s="17"/>
      <c r="J64" s="17">
        <v>12.18</v>
      </c>
      <c r="K64" s="17"/>
      <c r="L64" s="43">
        <v>61.25</v>
      </c>
      <c r="M64" s="17"/>
      <c r="N64" s="17">
        <v>12.18</v>
      </c>
      <c r="O64" s="17"/>
      <c r="P64" s="19"/>
    </row>
    <row r="65" ht="12" customHeight="1" spans="1:16">
      <c r="A65" s="14"/>
      <c r="B65" s="15"/>
      <c r="C65" s="18">
        <v>25</v>
      </c>
      <c r="D65" s="16"/>
      <c r="E65" s="17">
        <v>1761.77</v>
      </c>
      <c r="F65" s="17"/>
      <c r="G65" s="17">
        <v>309.82</v>
      </c>
      <c r="H65" s="16"/>
      <c r="I65" s="17">
        <v>1761.77</v>
      </c>
      <c r="J65" s="17"/>
      <c r="K65" s="17">
        <v>309.82</v>
      </c>
      <c r="L65" s="43"/>
      <c r="M65" s="17">
        <v>1761.77</v>
      </c>
      <c r="N65" s="17"/>
      <c r="O65" s="17">
        <v>309.82</v>
      </c>
      <c r="P65" s="19">
        <f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79.69</v>
      </c>
      <c r="E66" s="17"/>
      <c r="F66" s="17">
        <v>12.61</v>
      </c>
      <c r="G66" s="17"/>
      <c r="H66" s="16">
        <v>79.69</v>
      </c>
      <c r="I66" s="17"/>
      <c r="J66" s="17">
        <v>12.61</v>
      </c>
      <c r="K66" s="17"/>
      <c r="L66" s="43">
        <v>79.69</v>
      </c>
      <c r="M66" s="17"/>
      <c r="N66" s="17">
        <v>12.61</v>
      </c>
      <c r="O66" s="17"/>
      <c r="P66" s="19"/>
    </row>
    <row r="67" ht="12" customHeight="1" spans="1:16">
      <c r="A67" s="14"/>
      <c r="B67" s="15"/>
      <c r="C67" s="18">
        <v>25</v>
      </c>
      <c r="D67" s="16"/>
      <c r="E67" s="17">
        <v>1601.23</v>
      </c>
      <c r="F67" s="17"/>
      <c r="G67" s="17">
        <v>298.1</v>
      </c>
      <c r="H67" s="16"/>
      <c r="I67" s="17">
        <v>1601.23</v>
      </c>
      <c r="J67" s="17"/>
      <c r="K67" s="17">
        <v>298.1</v>
      </c>
      <c r="L67" s="43"/>
      <c r="M67" s="17">
        <v>1601.23</v>
      </c>
      <c r="N67" s="17"/>
      <c r="O67" s="17">
        <v>298.1</v>
      </c>
      <c r="P67" s="19">
        <f>I67+K67-M67-O67</f>
        <v>0</v>
      </c>
    </row>
    <row r="68" ht="12" customHeight="1" spans="1:16">
      <c r="A68" s="14">
        <v>30</v>
      </c>
      <c r="B68" s="15" t="s">
        <v>45</v>
      </c>
      <c r="C68" s="18"/>
      <c r="D68" s="16">
        <v>48.41</v>
      </c>
      <c r="E68" s="17"/>
      <c r="F68" s="17">
        <v>11.24</v>
      </c>
      <c r="G68" s="17"/>
      <c r="H68" s="16">
        <v>48.41</v>
      </c>
      <c r="I68" s="17"/>
      <c r="J68" s="17">
        <v>11.24</v>
      </c>
      <c r="K68" s="17"/>
      <c r="L68" s="43">
        <v>48.41</v>
      </c>
      <c r="M68" s="17"/>
      <c r="N68" s="17">
        <v>11.24</v>
      </c>
      <c r="O68" s="17"/>
      <c r="P68" s="19"/>
    </row>
    <row r="69" ht="12" customHeight="1" spans="1:16">
      <c r="A69" s="14"/>
      <c r="B69" s="15"/>
      <c r="C69" s="18">
        <v>25</v>
      </c>
      <c r="D69" s="16"/>
      <c r="E69" s="17">
        <v>1176.33</v>
      </c>
      <c r="F69" s="17"/>
      <c r="G69" s="17">
        <v>286.93</v>
      </c>
      <c r="H69" s="16"/>
      <c r="I69" s="17">
        <v>1176.33</v>
      </c>
      <c r="J69" s="17"/>
      <c r="K69" s="17">
        <v>286.93</v>
      </c>
      <c r="L69" s="43"/>
      <c r="M69" s="17">
        <v>1176.33</v>
      </c>
      <c r="N69" s="17"/>
      <c r="O69" s="17">
        <v>286.93</v>
      </c>
      <c r="P69" s="19">
        <f>I69+K69-M69-O69</f>
        <v>0</v>
      </c>
    </row>
    <row r="70" ht="12" customHeight="1" spans="1:16">
      <c r="A70" s="14">
        <v>31</v>
      </c>
      <c r="B70" s="15" t="s">
        <v>46</v>
      </c>
      <c r="C70" s="18"/>
      <c r="D70" s="16">
        <v>45.69</v>
      </c>
      <c r="E70" s="17"/>
      <c r="F70" s="17">
        <v>11.71</v>
      </c>
      <c r="G70" s="17"/>
      <c r="H70" s="16">
        <v>45.69</v>
      </c>
      <c r="I70" s="17"/>
      <c r="J70" s="17">
        <v>11.71</v>
      </c>
      <c r="K70" s="17"/>
      <c r="L70" s="43">
        <v>45.69</v>
      </c>
      <c r="M70" s="17"/>
      <c r="N70" s="17">
        <v>11.71</v>
      </c>
      <c r="O70" s="17"/>
      <c r="P70" s="19"/>
    </row>
    <row r="71" ht="12" customHeight="1" spans="1:16">
      <c r="A71" s="14"/>
      <c r="B71" s="15"/>
      <c r="C71" s="18">
        <v>25</v>
      </c>
      <c r="D71" s="16"/>
      <c r="E71" s="17">
        <v>951.13</v>
      </c>
      <c r="F71" s="17"/>
      <c r="G71" s="17">
        <v>271.25</v>
      </c>
      <c r="H71" s="16"/>
      <c r="I71" s="17">
        <v>951.13</v>
      </c>
      <c r="J71" s="17"/>
      <c r="K71" s="17">
        <v>271.25</v>
      </c>
      <c r="L71" s="43"/>
      <c r="M71" s="17">
        <v>951.13</v>
      </c>
      <c r="N71" s="17"/>
      <c r="O71" s="17">
        <v>271.25</v>
      </c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30.4</v>
      </c>
      <c r="E72" s="17"/>
      <c r="F72" s="17">
        <v>9.99</v>
      </c>
      <c r="G72" s="17"/>
      <c r="H72" s="16">
        <v>30.4</v>
      </c>
      <c r="I72" s="17"/>
      <c r="J72" s="17">
        <v>9.99</v>
      </c>
      <c r="K72" s="17"/>
      <c r="L72" s="43">
        <v>30.4</v>
      </c>
      <c r="M72" s="17"/>
      <c r="N72" s="17">
        <v>9.99</v>
      </c>
      <c r="O72" s="17"/>
      <c r="P72" s="19"/>
    </row>
    <row r="73" ht="12" customHeight="1" spans="1:16">
      <c r="A73" s="14"/>
      <c r="B73" s="15"/>
      <c r="C73" s="18">
        <v>25</v>
      </c>
      <c r="D73" s="16"/>
      <c r="E73" s="17">
        <v>791.98</v>
      </c>
      <c r="F73" s="17"/>
      <c r="G73" s="17">
        <v>253.49</v>
      </c>
      <c r="H73" s="16"/>
      <c r="I73" s="17">
        <v>791.98</v>
      </c>
      <c r="J73" s="17"/>
      <c r="K73" s="17">
        <v>253.49</v>
      </c>
      <c r="L73" s="43"/>
      <c r="M73" s="17">
        <v>791.98</v>
      </c>
      <c r="N73" s="17"/>
      <c r="O73" s="17">
        <v>253.49</v>
      </c>
      <c r="P73" s="19">
        <f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32.96</v>
      </c>
      <c r="E74" s="17"/>
      <c r="F74" s="17">
        <v>10.29</v>
      </c>
      <c r="G74" s="17"/>
      <c r="H74" s="16">
        <v>32.96</v>
      </c>
      <c r="I74" s="17"/>
      <c r="J74" s="17">
        <v>10.29</v>
      </c>
      <c r="K74" s="17"/>
      <c r="L74" s="43">
        <v>32.96</v>
      </c>
      <c r="M74" s="17"/>
      <c r="N74" s="17">
        <v>10.29</v>
      </c>
      <c r="O74" s="17"/>
      <c r="P74" s="19"/>
    </row>
    <row r="75" ht="12" customHeight="1" spans="1:16">
      <c r="A75" s="14"/>
      <c r="B75" s="15"/>
      <c r="C75" s="18">
        <v>25</v>
      </c>
      <c r="D75" s="16"/>
      <c r="E75" s="17">
        <v>1377.52</v>
      </c>
      <c r="F75" s="17"/>
      <c r="G75" s="17">
        <v>260.19</v>
      </c>
      <c r="H75" s="16"/>
      <c r="I75" s="17">
        <v>1377.52</v>
      </c>
      <c r="J75" s="17"/>
      <c r="K75" s="17">
        <v>260.19</v>
      </c>
      <c r="L75" s="43"/>
      <c r="M75" s="17">
        <v>1377.52</v>
      </c>
      <c r="N75" s="17"/>
      <c r="O75" s="17">
        <v>260.19</v>
      </c>
      <c r="P75" s="19">
        <f>I75+K75-M75-O75</f>
        <v>0</v>
      </c>
    </row>
    <row r="76" ht="12" customHeight="1" spans="1:16">
      <c r="A76" s="14">
        <v>34</v>
      </c>
      <c r="B76" s="15" t="s">
        <v>49</v>
      </c>
      <c r="C76" s="18"/>
      <c r="D76" s="16">
        <v>77.24</v>
      </c>
      <c r="E76" s="17"/>
      <c r="F76" s="17">
        <v>10.52</v>
      </c>
      <c r="G76" s="17"/>
      <c r="H76" s="16">
        <v>77.24</v>
      </c>
      <c r="I76" s="17"/>
      <c r="J76" s="17">
        <v>10.52</v>
      </c>
      <c r="K76" s="17"/>
      <c r="L76" s="43">
        <v>77.24</v>
      </c>
      <c r="M76" s="17"/>
      <c r="N76" s="17">
        <v>10.52</v>
      </c>
      <c r="O76" s="17"/>
      <c r="P76" s="19"/>
    </row>
    <row r="77" ht="12" customHeight="1" spans="1:16">
      <c r="A77" s="14"/>
      <c r="B77" s="15"/>
      <c r="C77" s="18">
        <v>25</v>
      </c>
      <c r="D77" s="16"/>
      <c r="E77" s="17">
        <v>1995.18</v>
      </c>
      <c r="F77" s="17"/>
      <c r="G77" s="17">
        <v>265.77</v>
      </c>
      <c r="H77" s="16"/>
      <c r="I77" s="17">
        <v>1995.18</v>
      </c>
      <c r="J77" s="17"/>
      <c r="K77" s="17">
        <v>265.77</v>
      </c>
      <c r="L77" s="43"/>
      <c r="M77" s="17">
        <v>1995.18</v>
      </c>
      <c r="N77" s="17"/>
      <c r="O77" s="17">
        <v>265.77</v>
      </c>
      <c r="P77" s="19">
        <f>I77+K77-M77-O77</f>
        <v>0</v>
      </c>
    </row>
    <row r="78" ht="12" customHeight="1" spans="1:16">
      <c r="A78" s="14">
        <v>35</v>
      </c>
      <c r="B78" s="15" t="s">
        <v>50</v>
      </c>
      <c r="C78" s="18"/>
      <c r="D78" s="16">
        <v>82.38</v>
      </c>
      <c r="E78" s="17"/>
      <c r="F78" s="17">
        <v>10.74</v>
      </c>
      <c r="G78" s="17"/>
      <c r="H78" s="16">
        <v>82.38</v>
      </c>
      <c r="I78" s="17"/>
      <c r="J78" s="17">
        <v>10.74</v>
      </c>
      <c r="K78" s="17"/>
      <c r="L78" s="43">
        <v>82.38</v>
      </c>
      <c r="M78" s="17"/>
      <c r="N78" s="17">
        <v>10.74</v>
      </c>
      <c r="O78" s="17"/>
      <c r="P78" s="19"/>
    </row>
    <row r="79" ht="12" customHeight="1" spans="1:16">
      <c r="A79" s="14"/>
      <c r="B79" s="15"/>
      <c r="C79" s="18">
        <v>25</v>
      </c>
      <c r="D79" s="16"/>
      <c r="E79" s="17">
        <v>2012.52</v>
      </c>
      <c r="F79" s="17"/>
      <c r="G79" s="17">
        <v>273.26</v>
      </c>
      <c r="H79" s="16"/>
      <c r="I79" s="17">
        <v>2012.52</v>
      </c>
      <c r="J79" s="17"/>
      <c r="K79" s="17">
        <v>273.26</v>
      </c>
      <c r="L79" s="43"/>
      <c r="M79" s="17">
        <v>2012.52</v>
      </c>
      <c r="N79" s="17"/>
      <c r="O79" s="17">
        <v>273.26</v>
      </c>
      <c r="P79" s="19">
        <f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78.63</v>
      </c>
      <c r="E80" s="17"/>
      <c r="F80" s="17">
        <v>11.12</v>
      </c>
      <c r="G80" s="17"/>
      <c r="H80" s="16">
        <v>78.63</v>
      </c>
      <c r="I80" s="17"/>
      <c r="J80" s="17">
        <v>11.12</v>
      </c>
      <c r="K80" s="17"/>
      <c r="L80" s="43">
        <v>78.63</v>
      </c>
      <c r="M80" s="17"/>
      <c r="N80" s="17">
        <v>11.12</v>
      </c>
      <c r="O80" s="17"/>
      <c r="P80" s="19"/>
    </row>
    <row r="81" ht="12" customHeight="1" spans="1:16">
      <c r="A81" s="14"/>
      <c r="B81" s="15"/>
      <c r="C81" s="18">
        <v>25</v>
      </c>
      <c r="D81" s="16"/>
      <c r="E81" s="17">
        <v>1545.48</v>
      </c>
      <c r="F81" s="17"/>
      <c r="G81" s="17">
        <v>221.87</v>
      </c>
      <c r="H81" s="16"/>
      <c r="I81" s="17">
        <v>1545.48</v>
      </c>
      <c r="J81" s="17"/>
      <c r="K81" s="17">
        <v>221.87</v>
      </c>
      <c r="L81" s="43"/>
      <c r="M81" s="17">
        <v>1545.48</v>
      </c>
      <c r="N81" s="17"/>
      <c r="O81" s="17">
        <v>221.87</v>
      </c>
      <c r="P81" s="19">
        <f>I81+K81-M81-O81</f>
        <v>0</v>
      </c>
    </row>
    <row r="82" ht="12" customHeight="1" spans="1:16">
      <c r="A82" s="14">
        <v>37</v>
      </c>
      <c r="B82" s="15" t="s">
        <v>52</v>
      </c>
      <c r="C82" s="18"/>
      <c r="D82" s="16">
        <v>45.01</v>
      </c>
      <c r="E82" s="17"/>
      <c r="F82" s="17">
        <v>6.63</v>
      </c>
      <c r="G82" s="17"/>
      <c r="H82" s="16">
        <v>45.01</v>
      </c>
      <c r="I82" s="17"/>
      <c r="J82" s="17">
        <v>6.63</v>
      </c>
      <c r="K82" s="17"/>
      <c r="L82" s="43">
        <v>45.01</v>
      </c>
      <c r="M82" s="17"/>
      <c r="N82" s="17">
        <v>6.63</v>
      </c>
      <c r="O82" s="17"/>
      <c r="P82" s="19"/>
    </row>
    <row r="83" ht="12" customHeight="1" spans="1:16">
      <c r="A83" s="14"/>
      <c r="B83" s="15"/>
      <c r="C83" s="18">
        <v>25</v>
      </c>
      <c r="D83" s="16"/>
      <c r="E83" s="17">
        <v>948.72</v>
      </c>
      <c r="F83" s="17"/>
      <c r="G83" s="17">
        <v>115.33</v>
      </c>
      <c r="H83" s="16"/>
      <c r="I83" s="17">
        <v>867.04</v>
      </c>
      <c r="J83" s="17"/>
      <c r="K83" s="17">
        <v>115.38</v>
      </c>
      <c r="L83" s="43"/>
      <c r="M83" s="17">
        <v>867.04</v>
      </c>
      <c r="N83" s="17"/>
      <c r="O83" s="17">
        <v>115.38</v>
      </c>
      <c r="P83" s="19">
        <f>I83+K83-M83-O83</f>
        <v>0</v>
      </c>
    </row>
    <row r="84" ht="12" customHeight="1" spans="1:16">
      <c r="A84" s="14">
        <v>38</v>
      </c>
      <c r="B84" s="15" t="s">
        <v>53</v>
      </c>
      <c r="C84" s="18"/>
      <c r="D84" s="16">
        <v>30.88</v>
      </c>
      <c r="E84" s="17"/>
      <c r="F84" s="17">
        <v>2.6</v>
      </c>
      <c r="G84" s="17"/>
      <c r="H84" s="16">
        <v>24.35</v>
      </c>
      <c r="I84" s="17"/>
      <c r="J84" s="17">
        <v>2.6</v>
      </c>
      <c r="K84" s="17"/>
      <c r="L84" s="43">
        <v>24.35</v>
      </c>
      <c r="M84" s="17"/>
      <c r="N84" s="17">
        <v>2.6</v>
      </c>
      <c r="O84" s="17"/>
      <c r="P84" s="19"/>
    </row>
    <row r="85" ht="12" customHeight="1" spans="1:16">
      <c r="A85" s="14"/>
      <c r="B85" s="15"/>
      <c r="C85" s="18">
        <v>25</v>
      </c>
      <c r="D85" s="16"/>
      <c r="E85" s="17">
        <v>775.23</v>
      </c>
      <c r="F85" s="17"/>
      <c r="G85" s="17">
        <v>32.5</v>
      </c>
      <c r="H85" s="16"/>
      <c r="I85" s="17">
        <v>423.56</v>
      </c>
      <c r="J85" s="17"/>
      <c r="K85" s="17">
        <v>32.5</v>
      </c>
      <c r="L85" s="43"/>
      <c r="M85" s="17">
        <v>423.56</v>
      </c>
      <c r="N85" s="17"/>
      <c r="O85" s="17">
        <v>32.5</v>
      </c>
      <c r="P85" s="19">
        <f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31.13</v>
      </c>
      <c r="E86" s="17"/>
      <c r="F86" s="17">
        <v>0</v>
      </c>
      <c r="G86" s="17"/>
      <c r="H86" s="16">
        <v>9.53</v>
      </c>
      <c r="I86" s="17"/>
      <c r="J86" s="17">
        <v>0</v>
      </c>
      <c r="K86" s="17"/>
      <c r="L86" s="43">
        <v>9.53</v>
      </c>
      <c r="M86" s="17"/>
      <c r="N86" s="17">
        <v>0</v>
      </c>
      <c r="O86" s="17"/>
      <c r="P86" s="19"/>
    </row>
    <row r="87" ht="12" customHeight="1" spans="1:16">
      <c r="A87" s="14"/>
      <c r="B87" s="15"/>
      <c r="C87" s="18">
        <v>25</v>
      </c>
      <c r="D87" s="16"/>
      <c r="E87" s="17">
        <v>517.16</v>
      </c>
      <c r="F87" s="17"/>
      <c r="G87" s="17">
        <v>0</v>
      </c>
      <c r="H87" s="16"/>
      <c r="I87" s="17">
        <v>119.16</v>
      </c>
      <c r="J87" s="17"/>
      <c r="K87" s="17">
        <v>0</v>
      </c>
      <c r="L87" s="43"/>
      <c r="M87" s="17">
        <v>119.16</v>
      </c>
      <c r="N87" s="17"/>
      <c r="O87" s="17">
        <v>0</v>
      </c>
      <c r="P87" s="19">
        <f>I87+K87-M87-O87</f>
        <v>0</v>
      </c>
    </row>
    <row r="88" ht="12" customHeight="1" spans="1:16">
      <c r="A88" s="14">
        <v>40</v>
      </c>
      <c r="B88" s="15" t="s">
        <v>55</v>
      </c>
      <c r="C88" s="18"/>
      <c r="D88" s="16">
        <v>10.24</v>
      </c>
      <c r="E88" s="17"/>
      <c r="F88" s="17">
        <v>0</v>
      </c>
      <c r="G88" s="17"/>
      <c r="H88" s="16">
        <v>0</v>
      </c>
      <c r="I88" s="17"/>
      <c r="J88" s="17">
        <v>0</v>
      </c>
      <c r="K88" s="17"/>
      <c r="L88" s="43">
        <v>0</v>
      </c>
      <c r="M88" s="17"/>
      <c r="N88" s="17">
        <v>0</v>
      </c>
      <c r="O88" s="17"/>
      <c r="P88" s="19"/>
    </row>
    <row r="89" ht="12" customHeight="1" spans="1:16">
      <c r="A89" s="14"/>
      <c r="B89" s="15"/>
      <c r="C89" s="18">
        <v>25</v>
      </c>
      <c r="D89" s="16"/>
      <c r="E89" s="17">
        <v>127.99</v>
      </c>
      <c r="F89" s="17"/>
      <c r="G89" s="17">
        <v>0</v>
      </c>
      <c r="H89" s="16"/>
      <c r="I89" s="17">
        <v>0</v>
      </c>
      <c r="J89" s="17"/>
      <c r="K89" s="17">
        <v>0</v>
      </c>
      <c r="L89" s="43"/>
      <c r="M89" s="17">
        <v>0</v>
      </c>
      <c r="N89" s="17"/>
      <c r="O89" s="17">
        <v>0</v>
      </c>
      <c r="P89" s="19">
        <f>I89+K89-M89-O89</f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>
        <v>0</v>
      </c>
      <c r="I90" s="17"/>
      <c r="J90" s="17">
        <v>0</v>
      </c>
      <c r="K90" s="17"/>
      <c r="L90" s="43">
        <v>0</v>
      </c>
      <c r="M90" s="17"/>
      <c r="N90" s="17">
        <v>0</v>
      </c>
      <c r="O90" s="17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>
        <v>0</v>
      </c>
      <c r="J91" s="17"/>
      <c r="K91" s="17">
        <v>0</v>
      </c>
      <c r="L91" s="43"/>
      <c r="M91" s="17">
        <v>0</v>
      </c>
      <c r="N91" s="17"/>
      <c r="O91" s="17">
        <v>0</v>
      </c>
      <c r="P91" s="19">
        <f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>
        <v>0</v>
      </c>
      <c r="I92" s="17"/>
      <c r="J92" s="17">
        <v>0</v>
      </c>
      <c r="K92" s="17"/>
      <c r="L92" s="43">
        <v>0</v>
      </c>
      <c r="M92" s="17"/>
      <c r="N92" s="17">
        <v>0</v>
      </c>
      <c r="O92" s="17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>
        <v>0</v>
      </c>
      <c r="J93" s="17"/>
      <c r="K93" s="17">
        <v>0</v>
      </c>
      <c r="L93" s="43"/>
      <c r="M93" s="17">
        <v>0</v>
      </c>
      <c r="N93" s="17"/>
      <c r="O93" s="17">
        <v>0</v>
      </c>
      <c r="P93" s="19">
        <f>I93+K93-M93-O93</f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>
        <v>0</v>
      </c>
      <c r="I94" s="17"/>
      <c r="J94" s="17">
        <v>0</v>
      </c>
      <c r="K94" s="17"/>
      <c r="L94" s="43">
        <v>0</v>
      </c>
      <c r="M94" s="17"/>
      <c r="N94" s="17">
        <v>0</v>
      </c>
      <c r="O94" s="17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>
        <v>0</v>
      </c>
      <c r="J95" s="17"/>
      <c r="K95" s="17">
        <v>0</v>
      </c>
      <c r="L95" s="43"/>
      <c r="M95" s="17">
        <v>0</v>
      </c>
      <c r="N95" s="17"/>
      <c r="O95" s="17">
        <v>0</v>
      </c>
      <c r="P95" s="19">
        <f>I95+K95-M95-O95</f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>
        <v>0</v>
      </c>
      <c r="I96" s="17"/>
      <c r="J96" s="17">
        <v>0</v>
      </c>
      <c r="K96" s="17"/>
      <c r="L96" s="43">
        <v>0</v>
      </c>
      <c r="M96" s="17"/>
      <c r="N96" s="17">
        <v>0</v>
      </c>
      <c r="O96" s="17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>
        <v>0</v>
      </c>
      <c r="J97" s="17"/>
      <c r="K97" s="17">
        <v>0</v>
      </c>
      <c r="L97" s="43"/>
      <c r="M97" s="17">
        <v>0</v>
      </c>
      <c r="N97" s="17"/>
      <c r="O97" s="17">
        <v>0</v>
      </c>
      <c r="P97" s="19">
        <f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>
        <v>0</v>
      </c>
      <c r="I98" s="17"/>
      <c r="J98" s="17">
        <v>0</v>
      </c>
      <c r="K98" s="17"/>
      <c r="L98" s="43">
        <v>0</v>
      </c>
      <c r="M98" s="17"/>
      <c r="N98" s="17">
        <v>0</v>
      </c>
      <c r="O98" s="17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>
        <v>0</v>
      </c>
      <c r="J99" s="17"/>
      <c r="K99" s="17">
        <v>0</v>
      </c>
      <c r="L99" s="43"/>
      <c r="M99" s="17">
        <v>0</v>
      </c>
      <c r="N99" s="17"/>
      <c r="O99" s="17">
        <v>0</v>
      </c>
      <c r="P99" s="19">
        <f>I99+K99-M99-O99</f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>
        <v>0</v>
      </c>
      <c r="I100" s="17"/>
      <c r="J100" s="17">
        <v>0</v>
      </c>
      <c r="K100" s="17"/>
      <c r="L100" s="43">
        <v>0</v>
      </c>
      <c r="M100" s="17"/>
      <c r="N100" s="17">
        <v>0</v>
      </c>
      <c r="O100" s="17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>
        <v>0</v>
      </c>
      <c r="J101" s="17"/>
      <c r="K101" s="17">
        <v>0</v>
      </c>
      <c r="L101" s="43"/>
      <c r="M101" s="17">
        <v>0</v>
      </c>
      <c r="N101" s="17"/>
      <c r="O101" s="17">
        <v>0</v>
      </c>
      <c r="P101" s="19">
        <f>I101+K101-M101-O101</f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>
        <v>0</v>
      </c>
      <c r="I102" s="17"/>
      <c r="J102" s="17">
        <v>0</v>
      </c>
      <c r="K102" s="17"/>
      <c r="L102" s="43">
        <v>0</v>
      </c>
      <c r="M102" s="17"/>
      <c r="N102" s="17">
        <v>0</v>
      </c>
      <c r="O102" s="17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>
        <v>0</v>
      </c>
      <c r="J103" s="17"/>
      <c r="K103" s="17">
        <v>0</v>
      </c>
      <c r="L103" s="43"/>
      <c r="M103" s="17">
        <v>0</v>
      </c>
      <c r="N103" s="17"/>
      <c r="O103" s="17">
        <v>0</v>
      </c>
      <c r="P103" s="19">
        <f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>
        <v>0</v>
      </c>
      <c r="I104" s="17"/>
      <c r="J104" s="17">
        <v>0</v>
      </c>
      <c r="K104" s="17"/>
      <c r="L104" s="43">
        <v>0</v>
      </c>
      <c r="M104" s="17"/>
      <c r="N104" s="17">
        <v>0</v>
      </c>
      <c r="O104" s="17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>
        <v>0</v>
      </c>
      <c r="J105" s="17"/>
      <c r="K105" s="17">
        <v>0</v>
      </c>
      <c r="L105" s="43"/>
      <c r="M105" s="17">
        <v>0</v>
      </c>
      <c r="N105" s="17"/>
      <c r="O105" s="17">
        <v>0</v>
      </c>
      <c r="P105" s="19">
        <f>I105+K105-M105-O105</f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>
        <v>0</v>
      </c>
      <c r="I106" s="17"/>
      <c r="J106" s="17">
        <v>0</v>
      </c>
      <c r="K106" s="17"/>
      <c r="L106" s="43">
        <v>0</v>
      </c>
      <c r="M106" s="17"/>
      <c r="N106" s="17">
        <v>0</v>
      </c>
      <c r="O106" s="17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>
        <v>0</v>
      </c>
      <c r="J107" s="17"/>
      <c r="K107" s="17">
        <v>0</v>
      </c>
      <c r="L107" s="43"/>
      <c r="M107" s="17">
        <v>0</v>
      </c>
      <c r="N107" s="17"/>
      <c r="O107" s="17">
        <v>0</v>
      </c>
      <c r="P107" s="19">
        <f>I107+K107-M107-O107</f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>
        <v>0</v>
      </c>
      <c r="I108" s="17"/>
      <c r="J108" s="17">
        <v>0</v>
      </c>
      <c r="K108" s="17"/>
      <c r="L108" s="43">
        <v>0</v>
      </c>
      <c r="M108" s="17"/>
      <c r="N108" s="17">
        <v>0</v>
      </c>
      <c r="O108" s="17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>
        <v>0</v>
      </c>
      <c r="J109" s="17"/>
      <c r="K109" s="17">
        <v>0</v>
      </c>
      <c r="L109" s="43"/>
      <c r="M109" s="17">
        <v>0</v>
      </c>
      <c r="N109" s="17"/>
      <c r="O109" s="17">
        <v>0</v>
      </c>
      <c r="P109" s="19">
        <f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>
        <v>0</v>
      </c>
      <c r="I110" s="17"/>
      <c r="J110" s="17">
        <v>0</v>
      </c>
      <c r="K110" s="17"/>
      <c r="L110" s="43">
        <v>0</v>
      </c>
      <c r="M110" s="17"/>
      <c r="N110" s="17">
        <v>0</v>
      </c>
      <c r="O110" s="17"/>
      <c r="P110" s="19"/>
    </row>
    <row r="111" ht="12" customHeight="1" spans="1:16">
      <c r="A111" s="14"/>
      <c r="B111" s="15"/>
      <c r="C111" s="18">
        <v>25</v>
      </c>
      <c r="D111" s="16"/>
      <c r="E111" s="17">
        <v>1158.86</v>
      </c>
      <c r="F111" s="17"/>
      <c r="G111" s="17">
        <v>94.58</v>
      </c>
      <c r="H111" s="16"/>
      <c r="I111" s="17">
        <v>1158.86</v>
      </c>
      <c r="J111" s="17"/>
      <c r="K111" s="17">
        <v>94.58</v>
      </c>
      <c r="L111" s="43"/>
      <c r="M111" s="17">
        <f>(L110+L112)/2*25</f>
        <v>701.375</v>
      </c>
      <c r="N111" s="17"/>
      <c r="O111" s="17">
        <f>(N110+N112)/2*25</f>
        <v>94.625</v>
      </c>
      <c r="P111" s="19">
        <f>I111+K111-M111-O111</f>
        <v>457.44</v>
      </c>
    </row>
    <row r="112" ht="12" customHeight="1" spans="1:16">
      <c r="A112" s="14">
        <v>52</v>
      </c>
      <c r="B112" s="15" t="s">
        <v>67</v>
      </c>
      <c r="C112" s="18"/>
      <c r="D112" s="16">
        <v>92.71</v>
      </c>
      <c r="E112" s="17"/>
      <c r="F112" s="17">
        <v>7.57</v>
      </c>
      <c r="G112" s="17"/>
      <c r="H112" s="16">
        <v>92.71</v>
      </c>
      <c r="I112" s="17"/>
      <c r="J112" s="17">
        <v>7.57</v>
      </c>
      <c r="K112" s="17"/>
      <c r="L112" s="43">
        <v>56.11</v>
      </c>
      <c r="M112" s="17"/>
      <c r="N112" s="17">
        <v>7.57</v>
      </c>
      <c r="O112" s="17"/>
      <c r="P112" s="19"/>
    </row>
    <row r="113" ht="12" customHeight="1" spans="1:16">
      <c r="A113" s="14"/>
      <c r="B113" s="15"/>
      <c r="C113" s="18">
        <v>25</v>
      </c>
      <c r="D113" s="16"/>
      <c r="E113" s="17">
        <v>2123.55</v>
      </c>
      <c r="F113" s="17"/>
      <c r="G113" s="17">
        <v>144.91</v>
      </c>
      <c r="H113" s="16"/>
      <c r="I113" s="17">
        <v>2123.55</v>
      </c>
      <c r="J113" s="17"/>
      <c r="K113" s="17">
        <v>144.91</v>
      </c>
      <c r="L113" s="43"/>
      <c r="M113" s="17">
        <f>(L112+L114)/2*25</f>
        <v>1303.875</v>
      </c>
      <c r="N113" s="17"/>
      <c r="O113" s="17">
        <f>(N112+N114)/2*25</f>
        <v>145</v>
      </c>
      <c r="P113" s="19">
        <f>I113+K113-M113-O113</f>
        <v>819.585</v>
      </c>
    </row>
    <row r="114" ht="12" customHeight="1" spans="1:16">
      <c r="A114" s="14">
        <v>53</v>
      </c>
      <c r="B114" s="15" t="s">
        <v>68</v>
      </c>
      <c r="C114" s="18"/>
      <c r="D114" s="16">
        <v>77.18</v>
      </c>
      <c r="E114" s="17"/>
      <c r="F114" s="17">
        <v>4.03</v>
      </c>
      <c r="G114" s="17"/>
      <c r="H114" s="16">
        <v>77.18</v>
      </c>
      <c r="I114" s="17"/>
      <c r="J114" s="17">
        <v>4.03</v>
      </c>
      <c r="K114" s="17"/>
      <c r="L114" s="43">
        <v>48.2</v>
      </c>
      <c r="M114" s="17"/>
      <c r="N114" s="17">
        <v>4.03</v>
      </c>
      <c r="O114" s="17"/>
      <c r="P114" s="19"/>
    </row>
    <row r="115" ht="12" customHeight="1" spans="1:16">
      <c r="A115" s="14"/>
      <c r="B115" s="15"/>
      <c r="C115" s="18">
        <v>25</v>
      </c>
      <c r="D115" s="16"/>
      <c r="E115" s="17">
        <v>2199.89</v>
      </c>
      <c r="F115" s="17"/>
      <c r="G115" s="17">
        <v>238.08</v>
      </c>
      <c r="H115" s="16"/>
      <c r="I115" s="17">
        <v>2199.89</v>
      </c>
      <c r="J115" s="17"/>
      <c r="K115" s="17">
        <v>238.08</v>
      </c>
      <c r="L115" s="43"/>
      <c r="M115" s="17">
        <f>(L114+L116)/2*25</f>
        <v>1464</v>
      </c>
      <c r="N115" s="17"/>
      <c r="O115" s="17">
        <f>(N114+N116)/2*25</f>
        <v>238.125</v>
      </c>
      <c r="P115" s="19">
        <f>I115+K115-M115-O115</f>
        <v>735.845</v>
      </c>
    </row>
    <row r="116" ht="12" customHeight="1" spans="1:16">
      <c r="A116" s="14">
        <v>54</v>
      </c>
      <c r="B116" s="15" t="s">
        <v>69</v>
      </c>
      <c r="C116" s="18"/>
      <c r="D116" s="16">
        <v>98.82</v>
      </c>
      <c r="E116" s="17"/>
      <c r="F116" s="17">
        <v>15.02</v>
      </c>
      <c r="G116" s="17"/>
      <c r="H116" s="16">
        <v>98.82</v>
      </c>
      <c r="I116" s="17"/>
      <c r="J116" s="17">
        <v>15.02</v>
      </c>
      <c r="K116" s="17"/>
      <c r="L116" s="43">
        <v>68.92</v>
      </c>
      <c r="M116" s="17"/>
      <c r="N116" s="17">
        <v>15.02</v>
      </c>
      <c r="O116" s="17"/>
      <c r="P116" s="19"/>
    </row>
    <row r="117" ht="12" customHeight="1" spans="1:16">
      <c r="A117" s="14"/>
      <c r="B117" s="15"/>
      <c r="C117" s="18">
        <v>25</v>
      </c>
      <c r="D117" s="16"/>
      <c r="E117" s="17">
        <v>2419.18</v>
      </c>
      <c r="F117" s="17"/>
      <c r="G117" s="17">
        <v>338.21</v>
      </c>
      <c r="H117" s="16"/>
      <c r="I117" s="17">
        <v>2419.18</v>
      </c>
      <c r="J117" s="17"/>
      <c r="K117" s="17">
        <v>338.21</v>
      </c>
      <c r="L117" s="43"/>
      <c r="M117" s="17">
        <f>(L116+L118)/2*25</f>
        <v>1766.5</v>
      </c>
      <c r="N117" s="17"/>
      <c r="O117" s="17">
        <f>(N116+N118)/2*25</f>
        <v>338.25</v>
      </c>
      <c r="P117" s="19">
        <f>I117+K117-M117-O117</f>
        <v>652.64</v>
      </c>
    </row>
    <row r="118" ht="12" customHeight="1" spans="1:16">
      <c r="A118" s="14">
        <v>55</v>
      </c>
      <c r="B118" s="15" t="s">
        <v>70</v>
      </c>
      <c r="C118" s="18"/>
      <c r="D118" s="16">
        <v>94.72</v>
      </c>
      <c r="E118" s="17"/>
      <c r="F118" s="17">
        <v>12.04</v>
      </c>
      <c r="G118" s="17"/>
      <c r="H118" s="16">
        <v>94.72</v>
      </c>
      <c r="I118" s="17"/>
      <c r="J118" s="17">
        <v>12.04</v>
      </c>
      <c r="K118" s="17"/>
      <c r="L118" s="43">
        <v>72.4</v>
      </c>
      <c r="M118" s="17"/>
      <c r="N118" s="17">
        <v>12.04</v>
      </c>
      <c r="O118" s="17"/>
      <c r="P118" s="19"/>
    </row>
    <row r="119" ht="12" customHeight="1" spans="1:16">
      <c r="A119" s="14"/>
      <c r="B119" s="15"/>
      <c r="C119" s="18">
        <v>25</v>
      </c>
      <c r="D119" s="16"/>
      <c r="E119" s="17">
        <v>2292.87</v>
      </c>
      <c r="F119" s="17"/>
      <c r="G119" s="17">
        <v>281.49</v>
      </c>
      <c r="H119" s="16"/>
      <c r="I119" s="17">
        <v>2292.87</v>
      </c>
      <c r="J119" s="17"/>
      <c r="K119" s="17">
        <v>281.49</v>
      </c>
      <c r="L119" s="43"/>
      <c r="M119" s="17">
        <f>(L118+L120)/2*25</f>
        <v>1697.5</v>
      </c>
      <c r="N119" s="17"/>
      <c r="O119" s="17">
        <f>(N118+N120)/2*25</f>
        <v>281.5</v>
      </c>
      <c r="P119" s="19">
        <f>I119+K119-M119-O119</f>
        <v>595.359999999999</v>
      </c>
    </row>
    <row r="120" ht="12" customHeight="1" spans="1:16">
      <c r="A120" s="14">
        <v>56</v>
      </c>
      <c r="B120" s="15" t="s">
        <v>71</v>
      </c>
      <c r="C120" s="18"/>
      <c r="D120" s="16">
        <v>88.71</v>
      </c>
      <c r="E120" s="17"/>
      <c r="F120" s="17">
        <v>10.48</v>
      </c>
      <c r="G120" s="17"/>
      <c r="H120" s="16">
        <v>88.71</v>
      </c>
      <c r="I120" s="17"/>
      <c r="J120" s="17">
        <v>10.48</v>
      </c>
      <c r="K120" s="17"/>
      <c r="L120" s="43">
        <v>63.4</v>
      </c>
      <c r="M120" s="17"/>
      <c r="N120" s="17">
        <v>10.48</v>
      </c>
      <c r="O120" s="17"/>
      <c r="P120" s="19"/>
    </row>
    <row r="121" ht="12" customHeight="1" spans="1:16">
      <c r="A121" s="14"/>
      <c r="B121" s="15"/>
      <c r="C121" s="18">
        <v>25</v>
      </c>
      <c r="D121" s="16"/>
      <c r="E121" s="17">
        <v>1721.72</v>
      </c>
      <c r="F121" s="17"/>
      <c r="G121" s="17">
        <v>220.98</v>
      </c>
      <c r="H121" s="16"/>
      <c r="I121" s="17">
        <v>1721.72</v>
      </c>
      <c r="J121" s="17"/>
      <c r="K121" s="17">
        <v>220.98</v>
      </c>
      <c r="L121" s="43"/>
      <c r="M121" s="17">
        <f>(L120+L122)/2*25</f>
        <v>1327.875</v>
      </c>
      <c r="N121" s="17"/>
      <c r="O121" s="17">
        <f>(N120+N122)/2*25</f>
        <v>221</v>
      </c>
      <c r="P121" s="19">
        <f>I121+K121-M121-O121</f>
        <v>393.825</v>
      </c>
    </row>
    <row r="122" ht="12" customHeight="1" spans="1:16">
      <c r="A122" s="14">
        <v>57</v>
      </c>
      <c r="B122" s="15" t="s">
        <v>72</v>
      </c>
      <c r="C122" s="18"/>
      <c r="D122" s="16">
        <v>49.03</v>
      </c>
      <c r="E122" s="17"/>
      <c r="F122" s="17">
        <v>7.2</v>
      </c>
      <c r="G122" s="17"/>
      <c r="H122" s="16">
        <v>49.03</v>
      </c>
      <c r="I122" s="17"/>
      <c r="J122" s="17">
        <v>7.2</v>
      </c>
      <c r="K122" s="17"/>
      <c r="L122" s="43">
        <v>42.83</v>
      </c>
      <c r="M122" s="17"/>
      <c r="N122" s="17">
        <v>7.2</v>
      </c>
      <c r="O122" s="17"/>
      <c r="P122" s="19"/>
    </row>
    <row r="123" ht="12" customHeight="1" spans="1:16">
      <c r="A123" s="14"/>
      <c r="B123" s="15"/>
      <c r="C123" s="18">
        <v>25</v>
      </c>
      <c r="D123" s="16"/>
      <c r="E123" s="17">
        <v>612.84</v>
      </c>
      <c r="F123" s="17"/>
      <c r="G123" s="17">
        <v>89.95</v>
      </c>
      <c r="H123" s="16"/>
      <c r="I123" s="17">
        <v>612.84</v>
      </c>
      <c r="J123" s="17"/>
      <c r="K123" s="17">
        <v>89.95</v>
      </c>
      <c r="L123" s="43"/>
      <c r="M123" s="17">
        <f>(L122+L124)/2*25</f>
        <v>535.375</v>
      </c>
      <c r="N123" s="17"/>
      <c r="O123" s="17">
        <f>(N122+N124)/2*25</f>
        <v>90</v>
      </c>
      <c r="P123" s="19">
        <f>I123+K123-M123-O123</f>
        <v>77.4150000000001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>
        <v>0</v>
      </c>
      <c r="I124" s="17"/>
      <c r="J124" s="17">
        <v>0</v>
      </c>
      <c r="K124" s="17"/>
      <c r="L124" s="43">
        <v>0</v>
      </c>
      <c r="M124" s="17"/>
      <c r="N124" s="17">
        <v>0</v>
      </c>
      <c r="O124" s="17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>
        <v>0</v>
      </c>
      <c r="J125" s="17"/>
      <c r="K125" s="17">
        <v>0</v>
      </c>
      <c r="L125" s="43"/>
      <c r="M125" s="17">
        <f>(L124+L126)/2*25</f>
        <v>0</v>
      </c>
      <c r="N125" s="17"/>
      <c r="O125" s="17">
        <f>(N124+N126)/2*25</f>
        <v>0</v>
      </c>
      <c r="P125" s="19">
        <f>I125+K125-M125-O125</f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>
        <v>0</v>
      </c>
      <c r="I126" s="17"/>
      <c r="J126" s="17">
        <v>0</v>
      </c>
      <c r="K126" s="17"/>
      <c r="L126" s="43">
        <v>0</v>
      </c>
      <c r="M126" s="17"/>
      <c r="N126" s="17">
        <v>0</v>
      </c>
      <c r="O126" s="17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>
        <v>0</v>
      </c>
      <c r="J127" s="17"/>
      <c r="K127" s="17">
        <v>0</v>
      </c>
      <c r="L127" s="43"/>
      <c r="M127" s="17">
        <f>(L126+L128)/2*25</f>
        <v>0</v>
      </c>
      <c r="N127" s="17"/>
      <c r="O127" s="17">
        <f>(N126+N128)/2*25</f>
        <v>0</v>
      </c>
      <c r="P127" s="19">
        <f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>
        <v>0</v>
      </c>
      <c r="I128" s="17"/>
      <c r="J128" s="17">
        <v>0</v>
      </c>
      <c r="K128" s="17"/>
      <c r="L128" s="43">
        <v>0</v>
      </c>
      <c r="M128" s="17"/>
      <c r="N128" s="17">
        <v>0</v>
      </c>
      <c r="O128" s="17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>
        <v>0</v>
      </c>
      <c r="J129" s="17"/>
      <c r="K129" s="17">
        <v>0</v>
      </c>
      <c r="L129" s="43"/>
      <c r="M129" s="17">
        <f>(L128+L130)/2*25</f>
        <v>0</v>
      </c>
      <c r="N129" s="17"/>
      <c r="O129" s="17">
        <f>(N128+N130)/2*25</f>
        <v>0</v>
      </c>
      <c r="P129" s="19">
        <f>I129+K129-M129-O129</f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>
        <v>0</v>
      </c>
      <c r="I130" s="17"/>
      <c r="J130" s="17">
        <v>0</v>
      </c>
      <c r="K130" s="17"/>
      <c r="L130" s="43">
        <v>0</v>
      </c>
      <c r="M130" s="17"/>
      <c r="N130" s="17">
        <v>0</v>
      </c>
      <c r="O130" s="17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>
        <v>0</v>
      </c>
      <c r="J131" s="17"/>
      <c r="K131" s="17">
        <v>0</v>
      </c>
      <c r="L131" s="43"/>
      <c r="M131" s="17">
        <f>(L130+L132)/2*25</f>
        <v>0</v>
      </c>
      <c r="N131" s="17"/>
      <c r="O131" s="17">
        <f>(N130+N132)/2*25</f>
        <v>0</v>
      </c>
      <c r="P131" s="19">
        <f>I131+K131-M131-O131</f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>
        <v>0</v>
      </c>
      <c r="I132" s="17"/>
      <c r="J132" s="17">
        <v>0</v>
      </c>
      <c r="K132" s="17"/>
      <c r="L132" s="43">
        <v>0</v>
      </c>
      <c r="M132" s="17"/>
      <c r="N132" s="17">
        <v>0</v>
      </c>
      <c r="O132" s="17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>
        <v>0</v>
      </c>
      <c r="J133" s="17"/>
      <c r="K133" s="17">
        <v>0</v>
      </c>
      <c r="L133" s="43"/>
      <c r="M133" s="17">
        <f>(L132+L134)/2*25</f>
        <v>0</v>
      </c>
      <c r="N133" s="17"/>
      <c r="O133" s="17">
        <f>(N132+N134)/2*25</f>
        <v>0</v>
      </c>
      <c r="P133" s="19">
        <f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>
        <v>0</v>
      </c>
      <c r="I134" s="17"/>
      <c r="J134" s="17">
        <v>0</v>
      </c>
      <c r="K134" s="17"/>
      <c r="L134" s="43">
        <v>0</v>
      </c>
      <c r="M134" s="17"/>
      <c r="N134" s="17">
        <v>0</v>
      </c>
      <c r="O134" s="17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>
        <v>0</v>
      </c>
      <c r="J135" s="17"/>
      <c r="K135" s="17">
        <v>0</v>
      </c>
      <c r="L135" s="43"/>
      <c r="M135" s="17">
        <f>(L134+L136)/2*25</f>
        <v>0</v>
      </c>
      <c r="N135" s="17"/>
      <c r="O135" s="17">
        <f>(N134+N136)/2*25</f>
        <v>0</v>
      </c>
      <c r="P135" s="19">
        <f>I135+K135-M135-O135</f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>
        <v>0</v>
      </c>
      <c r="I136" s="17"/>
      <c r="J136" s="17">
        <v>0</v>
      </c>
      <c r="K136" s="17"/>
      <c r="L136" s="43">
        <v>0</v>
      </c>
      <c r="M136" s="17"/>
      <c r="N136" s="17">
        <v>0</v>
      </c>
      <c r="O136" s="17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>
        <v>0</v>
      </c>
      <c r="J137" s="17"/>
      <c r="K137" s="17">
        <v>0</v>
      </c>
      <c r="L137" s="43"/>
      <c r="M137" s="17">
        <f>(L136+L138)/2*25</f>
        <v>0</v>
      </c>
      <c r="N137" s="17"/>
      <c r="O137" s="17">
        <f>(N136+N138)/2*25</f>
        <v>0</v>
      </c>
      <c r="P137" s="19">
        <f>I137+K137-M137-O137</f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>
        <v>0</v>
      </c>
      <c r="I138" s="17"/>
      <c r="J138" s="17">
        <v>0</v>
      </c>
      <c r="K138" s="17"/>
      <c r="L138" s="43">
        <v>0</v>
      </c>
      <c r="M138" s="17"/>
      <c r="N138" s="17">
        <v>0</v>
      </c>
      <c r="O138" s="17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>
        <v>0</v>
      </c>
      <c r="J139" s="17"/>
      <c r="K139" s="17">
        <v>0</v>
      </c>
      <c r="L139" s="43"/>
      <c r="M139" s="17">
        <f>(L138+L140)/2*25</f>
        <v>0</v>
      </c>
      <c r="N139" s="17"/>
      <c r="O139" s="17">
        <f>(N138+N140)/2*25</f>
        <v>0</v>
      </c>
      <c r="P139" s="19">
        <f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>
        <v>0</v>
      </c>
      <c r="I140" s="17"/>
      <c r="J140" s="17">
        <v>0</v>
      </c>
      <c r="K140" s="17"/>
      <c r="L140" s="43">
        <v>0</v>
      </c>
      <c r="M140" s="17"/>
      <c r="N140" s="17">
        <v>0</v>
      </c>
      <c r="O140" s="17"/>
      <c r="P140" s="19"/>
    </row>
    <row r="141" ht="12" customHeight="1" spans="1:16">
      <c r="A141" s="14"/>
      <c r="B141" s="15"/>
      <c r="C141" s="18">
        <v>25</v>
      </c>
      <c r="D141" s="16"/>
      <c r="E141" s="17">
        <v>252.67</v>
      </c>
      <c r="F141" s="17"/>
      <c r="G141" s="17">
        <v>59.04</v>
      </c>
      <c r="H141" s="16"/>
      <c r="I141" s="17">
        <v>252.67</v>
      </c>
      <c r="J141" s="17"/>
      <c r="K141" s="17">
        <v>59.04</v>
      </c>
      <c r="L141" s="43"/>
      <c r="M141" s="17">
        <f>(L140+L142)/2*25</f>
        <v>216.125</v>
      </c>
      <c r="N141" s="17"/>
      <c r="O141" s="17">
        <f>(N140+N142)/2*25</f>
        <v>59</v>
      </c>
      <c r="P141" s="19">
        <f>I141+K141-M141-O141</f>
        <v>36.585</v>
      </c>
    </row>
    <row r="142" ht="12" customHeight="1" spans="1:16">
      <c r="A142" s="14">
        <v>67</v>
      </c>
      <c r="B142" s="15" t="s">
        <v>82</v>
      </c>
      <c r="C142" s="18"/>
      <c r="D142" s="16">
        <v>20.21</v>
      </c>
      <c r="E142" s="17"/>
      <c r="F142" s="17">
        <v>4.72</v>
      </c>
      <c r="G142" s="17"/>
      <c r="H142" s="16">
        <v>20.21</v>
      </c>
      <c r="I142" s="17"/>
      <c r="J142" s="17">
        <v>4.72</v>
      </c>
      <c r="K142" s="17"/>
      <c r="L142" s="43">
        <v>17.29</v>
      </c>
      <c r="M142" s="17"/>
      <c r="N142" s="17">
        <v>4.72</v>
      </c>
      <c r="O142" s="17"/>
      <c r="P142" s="19"/>
    </row>
    <row r="143" ht="12" customHeight="1" spans="1:16">
      <c r="A143" s="14"/>
      <c r="B143" s="15"/>
      <c r="C143" s="18">
        <v>25</v>
      </c>
      <c r="D143" s="16"/>
      <c r="E143" s="17">
        <v>875.89</v>
      </c>
      <c r="F143" s="17"/>
      <c r="G143" s="17">
        <v>166.69</v>
      </c>
      <c r="H143" s="16"/>
      <c r="I143" s="17">
        <v>875.89</v>
      </c>
      <c r="J143" s="17"/>
      <c r="K143" s="17">
        <v>166.69</v>
      </c>
      <c r="L143" s="43"/>
      <c r="M143" s="17">
        <f>(L142+L144)/2*25</f>
        <v>786</v>
      </c>
      <c r="N143" s="17"/>
      <c r="O143" s="17">
        <f>(N142+N144)/2*25</f>
        <v>166.625</v>
      </c>
      <c r="P143" s="19">
        <f>I143+K143-M143-O143</f>
        <v>89.955</v>
      </c>
    </row>
    <row r="144" ht="12" customHeight="1" spans="1:16">
      <c r="A144" s="14">
        <v>68</v>
      </c>
      <c r="B144" s="15" t="s">
        <v>83</v>
      </c>
      <c r="C144" s="18"/>
      <c r="D144" s="16">
        <v>49.86</v>
      </c>
      <c r="E144" s="17"/>
      <c r="F144" s="17">
        <v>8.61</v>
      </c>
      <c r="G144" s="17"/>
      <c r="H144" s="16">
        <v>49.86</v>
      </c>
      <c r="I144" s="17"/>
      <c r="J144" s="17">
        <v>8.61</v>
      </c>
      <c r="K144" s="17"/>
      <c r="L144" s="43">
        <v>45.59</v>
      </c>
      <c r="M144" s="17"/>
      <c r="N144" s="17">
        <v>8.61</v>
      </c>
      <c r="O144" s="17"/>
      <c r="P144" s="19"/>
    </row>
    <row r="145" ht="12" customHeight="1" spans="1:16">
      <c r="A145" s="14"/>
      <c r="B145" s="15"/>
      <c r="C145" s="18">
        <v>25</v>
      </c>
      <c r="D145" s="16"/>
      <c r="E145" s="17">
        <v>2785.41</v>
      </c>
      <c r="F145" s="17"/>
      <c r="G145" s="17">
        <v>271.8</v>
      </c>
      <c r="H145" s="16"/>
      <c r="I145" s="17">
        <v>2785.41</v>
      </c>
      <c r="J145" s="17"/>
      <c r="K145" s="17">
        <v>271.8</v>
      </c>
      <c r="L145" s="43"/>
      <c r="M145" s="17">
        <f>(L144+L146)/2*25</f>
        <v>2555.75</v>
      </c>
      <c r="N145" s="17"/>
      <c r="O145" s="17">
        <f>(N144+N146)/2*25</f>
        <v>271.75</v>
      </c>
      <c r="P145" s="19">
        <f>I145+K145-M145-O145</f>
        <v>229.71</v>
      </c>
    </row>
    <row r="146" ht="12" customHeight="1" spans="1:16">
      <c r="A146" s="14">
        <v>69</v>
      </c>
      <c r="B146" s="15" t="s">
        <v>84</v>
      </c>
      <c r="C146" s="18"/>
      <c r="D146" s="16">
        <v>172.98</v>
      </c>
      <c r="E146" s="17"/>
      <c r="F146" s="17">
        <v>13.13</v>
      </c>
      <c r="G146" s="17"/>
      <c r="H146" s="16">
        <v>172.98</v>
      </c>
      <c r="I146" s="17"/>
      <c r="J146" s="17">
        <v>13.13</v>
      </c>
      <c r="K146" s="17"/>
      <c r="L146" s="43">
        <v>158.87</v>
      </c>
      <c r="M146" s="17"/>
      <c r="N146" s="17">
        <v>13.13</v>
      </c>
      <c r="O146" s="17"/>
      <c r="P146" s="19"/>
    </row>
    <row r="147" ht="12" customHeight="1" spans="1:16">
      <c r="A147" s="14"/>
      <c r="B147" s="15"/>
      <c r="C147" s="18">
        <v>25</v>
      </c>
      <c r="D147" s="16"/>
      <c r="E147" s="17">
        <v>4273.16</v>
      </c>
      <c r="F147" s="17"/>
      <c r="G147" s="17">
        <v>308.25</v>
      </c>
      <c r="H147" s="16"/>
      <c r="I147" s="17">
        <v>4273.16</v>
      </c>
      <c r="J147" s="17"/>
      <c r="K147" s="17">
        <v>308.25</v>
      </c>
      <c r="L147" s="43"/>
      <c r="M147" s="17">
        <f>(L146+L148)/2*25</f>
        <v>3896.625</v>
      </c>
      <c r="N147" s="17"/>
      <c r="O147" s="17">
        <f>(N146+N148)/2*25</f>
        <v>308.25</v>
      </c>
      <c r="P147" s="19">
        <f>I147+K147-M147-O147</f>
        <v>376.535</v>
      </c>
    </row>
    <row r="148" ht="12" customHeight="1" spans="1:16">
      <c r="A148" s="14">
        <v>70</v>
      </c>
      <c r="B148" s="15" t="s">
        <v>85</v>
      </c>
      <c r="C148" s="18"/>
      <c r="D148" s="16">
        <v>168.88</v>
      </c>
      <c r="E148" s="17"/>
      <c r="F148" s="17">
        <v>11.53</v>
      </c>
      <c r="G148" s="17"/>
      <c r="H148" s="16">
        <v>168.88</v>
      </c>
      <c r="I148" s="17"/>
      <c r="J148" s="17">
        <v>11.53</v>
      </c>
      <c r="K148" s="17"/>
      <c r="L148" s="43">
        <v>152.86</v>
      </c>
      <c r="M148" s="17"/>
      <c r="N148" s="17">
        <v>11.53</v>
      </c>
      <c r="O148" s="17"/>
      <c r="P148" s="19"/>
    </row>
    <row r="149" ht="12" customHeight="1" spans="1:16">
      <c r="A149" s="14"/>
      <c r="B149" s="15"/>
      <c r="C149" s="18">
        <v>25</v>
      </c>
      <c r="D149" s="16"/>
      <c r="E149" s="17">
        <v>4239.81</v>
      </c>
      <c r="F149" s="17"/>
      <c r="G149" s="17">
        <v>264.04</v>
      </c>
      <c r="H149" s="16"/>
      <c r="I149" s="17">
        <v>4239.81</v>
      </c>
      <c r="J149" s="17"/>
      <c r="K149" s="17">
        <v>264.04</v>
      </c>
      <c r="L149" s="43"/>
      <c r="M149" s="17">
        <f>(L148+L150)/2*25</f>
        <v>3814</v>
      </c>
      <c r="N149" s="17"/>
      <c r="O149" s="17">
        <f>(N148+N150)/2*25</f>
        <v>264</v>
      </c>
      <c r="P149" s="19">
        <f>I149+K149-M149-O149</f>
        <v>425.85</v>
      </c>
    </row>
    <row r="150" ht="12" customHeight="1" spans="1:16">
      <c r="A150" s="14">
        <v>71</v>
      </c>
      <c r="B150" s="15" t="s">
        <v>86</v>
      </c>
      <c r="C150" s="18"/>
      <c r="D150" s="16">
        <v>170.31</v>
      </c>
      <c r="E150" s="17"/>
      <c r="F150" s="17">
        <v>9.59</v>
      </c>
      <c r="G150" s="17"/>
      <c r="H150" s="16">
        <v>170.31</v>
      </c>
      <c r="I150" s="17"/>
      <c r="J150" s="17">
        <v>9.59</v>
      </c>
      <c r="K150" s="17"/>
      <c r="L150" s="43">
        <v>152.26</v>
      </c>
      <c r="M150" s="17"/>
      <c r="N150" s="17">
        <v>9.59</v>
      </c>
      <c r="O150" s="17"/>
      <c r="P150" s="19"/>
    </row>
    <row r="151" ht="12" customHeight="1" spans="1:16">
      <c r="A151" s="14"/>
      <c r="B151" s="15"/>
      <c r="C151" s="18">
        <v>25</v>
      </c>
      <c r="D151" s="16"/>
      <c r="E151" s="17">
        <v>3565.42</v>
      </c>
      <c r="F151" s="17"/>
      <c r="G151" s="17">
        <v>225.54</v>
      </c>
      <c r="H151" s="16"/>
      <c r="I151" s="17">
        <v>3565.42</v>
      </c>
      <c r="J151" s="17"/>
      <c r="K151" s="17">
        <v>225.54</v>
      </c>
      <c r="L151" s="43"/>
      <c r="M151" s="17">
        <f>(L150+L152)/2*25</f>
        <v>3188.875</v>
      </c>
      <c r="N151" s="17"/>
      <c r="O151" s="17">
        <f>(N150+N152)/2*25</f>
        <v>225.5</v>
      </c>
      <c r="P151" s="19">
        <f>I151+K151-M151-O151</f>
        <v>376.585</v>
      </c>
    </row>
    <row r="152" ht="12" customHeight="1" spans="1:16">
      <c r="A152" s="14">
        <v>72</v>
      </c>
      <c r="B152" s="15" t="s">
        <v>87</v>
      </c>
      <c r="C152" s="18"/>
      <c r="D152" s="16">
        <v>114.93</v>
      </c>
      <c r="E152" s="17"/>
      <c r="F152" s="17">
        <v>8.45</v>
      </c>
      <c r="G152" s="17"/>
      <c r="H152" s="16">
        <v>114.93</v>
      </c>
      <c r="I152" s="17"/>
      <c r="J152" s="17">
        <v>8.45</v>
      </c>
      <c r="K152" s="17"/>
      <c r="L152" s="43">
        <v>102.85</v>
      </c>
      <c r="M152" s="17"/>
      <c r="N152" s="17">
        <v>8.45</v>
      </c>
      <c r="O152" s="17"/>
      <c r="P152" s="19"/>
    </row>
    <row r="153" ht="12" customHeight="1" spans="1:16">
      <c r="A153" s="14"/>
      <c r="B153" s="15"/>
      <c r="C153" s="18">
        <v>25</v>
      </c>
      <c r="D153" s="16"/>
      <c r="E153" s="17">
        <v>3055.25</v>
      </c>
      <c r="F153" s="17"/>
      <c r="G153" s="17">
        <v>217.91</v>
      </c>
      <c r="H153" s="16"/>
      <c r="I153" s="17">
        <v>3055.25</v>
      </c>
      <c r="J153" s="17"/>
      <c r="K153" s="17">
        <v>217.91</v>
      </c>
      <c r="L153" s="43"/>
      <c r="M153" s="17">
        <f>(L152+L154)/2*25</f>
        <v>2464.25</v>
      </c>
      <c r="N153" s="17"/>
      <c r="O153" s="17">
        <f>(N152+N154)/2*25</f>
        <v>217.875</v>
      </c>
      <c r="P153" s="19">
        <f>I153+K153-M153-O153</f>
        <v>591.035</v>
      </c>
    </row>
    <row r="154" ht="12" customHeight="1" spans="1:16">
      <c r="A154" s="14">
        <v>73</v>
      </c>
      <c r="B154" s="15" t="s">
        <v>88</v>
      </c>
      <c r="C154" s="18"/>
      <c r="D154" s="16">
        <v>129.49</v>
      </c>
      <c r="E154" s="17"/>
      <c r="F154" s="17">
        <v>8.98</v>
      </c>
      <c r="G154" s="17"/>
      <c r="H154" s="16">
        <v>129.49</v>
      </c>
      <c r="I154" s="17"/>
      <c r="J154" s="17">
        <v>8.98</v>
      </c>
      <c r="K154" s="17"/>
      <c r="L154" s="43">
        <v>94.29</v>
      </c>
      <c r="M154" s="17"/>
      <c r="N154" s="17">
        <v>8.98</v>
      </c>
      <c r="O154" s="17"/>
      <c r="P154" s="19"/>
    </row>
    <row r="155" ht="12" customHeight="1" spans="1:16">
      <c r="A155" s="14"/>
      <c r="B155" s="15"/>
      <c r="C155" s="18">
        <v>25</v>
      </c>
      <c r="D155" s="16"/>
      <c r="E155" s="17">
        <v>2946.88</v>
      </c>
      <c r="F155" s="17"/>
      <c r="G155" s="17">
        <v>218.31</v>
      </c>
      <c r="H155" s="16"/>
      <c r="I155" s="17">
        <v>2781.19</v>
      </c>
      <c r="J155" s="17"/>
      <c r="K155" s="17">
        <v>218.25</v>
      </c>
      <c r="L155" s="43"/>
      <c r="M155" s="17">
        <f>(L154+L156)/2*25</f>
        <v>1996.5</v>
      </c>
      <c r="N155" s="17"/>
      <c r="O155" s="17">
        <f>(N154+N156)/2*25</f>
        <v>218.25</v>
      </c>
      <c r="P155" s="19">
        <f>I155+K155-M155-O155</f>
        <v>784.69</v>
      </c>
    </row>
    <row r="156" ht="12" customHeight="1" spans="1:16">
      <c r="A156" s="14">
        <v>74</v>
      </c>
      <c r="B156" s="15" t="s">
        <v>89</v>
      </c>
      <c r="C156" s="18"/>
      <c r="D156" s="16">
        <v>106.26</v>
      </c>
      <c r="E156" s="17"/>
      <c r="F156" s="17">
        <v>8.48</v>
      </c>
      <c r="G156" s="17"/>
      <c r="H156" s="16">
        <v>93.01</v>
      </c>
      <c r="I156" s="17"/>
      <c r="J156" s="17">
        <v>8.48</v>
      </c>
      <c r="K156" s="17"/>
      <c r="L156" s="43">
        <v>65.43</v>
      </c>
      <c r="M156" s="17"/>
      <c r="N156" s="17">
        <v>8.48</v>
      </c>
      <c r="O156" s="17"/>
      <c r="P156" s="19"/>
    </row>
    <row r="157" ht="12" customHeight="1" spans="1:16">
      <c r="A157" s="14"/>
      <c r="B157" s="15"/>
      <c r="C157" s="18">
        <v>25</v>
      </c>
      <c r="D157" s="16"/>
      <c r="E157" s="17">
        <v>2882.52</v>
      </c>
      <c r="F157" s="17"/>
      <c r="G157" s="17">
        <v>218.65</v>
      </c>
      <c r="H157" s="16"/>
      <c r="I157" s="17">
        <v>2517.49</v>
      </c>
      <c r="J157" s="17"/>
      <c r="K157" s="17">
        <v>218.63</v>
      </c>
      <c r="L157" s="43"/>
      <c r="M157" s="17">
        <f>(L156+L158)/2*25</f>
        <v>1818.25</v>
      </c>
      <c r="N157" s="17"/>
      <c r="O157" s="17">
        <f>(N156+N158)/2*25</f>
        <v>218.625</v>
      </c>
      <c r="P157" s="19">
        <f>I157+K157-M157-O157</f>
        <v>699.245</v>
      </c>
    </row>
    <row r="158" ht="12" customHeight="1" spans="1:16">
      <c r="A158" s="14">
        <v>75</v>
      </c>
      <c r="B158" s="15" t="s">
        <v>90</v>
      </c>
      <c r="C158" s="18"/>
      <c r="D158" s="16">
        <v>124.35</v>
      </c>
      <c r="E158" s="17"/>
      <c r="F158" s="17">
        <v>9.01</v>
      </c>
      <c r="G158" s="17"/>
      <c r="H158" s="16">
        <v>108.39</v>
      </c>
      <c r="I158" s="17"/>
      <c r="J158" s="17">
        <v>9.01</v>
      </c>
      <c r="K158" s="17"/>
      <c r="L158" s="43">
        <v>80.03</v>
      </c>
      <c r="M158" s="17"/>
      <c r="N158" s="17">
        <v>9.01</v>
      </c>
      <c r="O158" s="17"/>
      <c r="P158" s="19"/>
    </row>
    <row r="159" ht="12" customHeight="1" spans="1:16">
      <c r="A159" s="14"/>
      <c r="B159" s="15"/>
      <c r="C159" s="18">
        <v>25</v>
      </c>
      <c r="D159" s="16"/>
      <c r="E159" s="17">
        <v>2818.58</v>
      </c>
      <c r="F159" s="17"/>
      <c r="G159" s="17">
        <v>227.02</v>
      </c>
      <c r="H159" s="16"/>
      <c r="I159" s="17">
        <v>2465.52</v>
      </c>
      <c r="J159" s="17"/>
      <c r="K159" s="17">
        <v>227</v>
      </c>
      <c r="L159" s="43"/>
      <c r="M159" s="17">
        <f>(L158+L160)/2*25</f>
        <v>1879.375</v>
      </c>
      <c r="N159" s="17"/>
      <c r="O159" s="17">
        <f>(N158+N160)/2*25</f>
        <v>227</v>
      </c>
      <c r="P159" s="19">
        <f>I159+K159-M159-O159</f>
        <v>586.145</v>
      </c>
    </row>
    <row r="160" ht="12" customHeight="1" spans="1:16">
      <c r="A160" s="14">
        <v>76</v>
      </c>
      <c r="B160" s="15" t="s">
        <v>91</v>
      </c>
      <c r="C160" s="18"/>
      <c r="D160" s="16">
        <v>101.14</v>
      </c>
      <c r="E160" s="17"/>
      <c r="F160" s="17">
        <v>9.15</v>
      </c>
      <c r="G160" s="17"/>
      <c r="H160" s="16">
        <v>88.85</v>
      </c>
      <c r="I160" s="17"/>
      <c r="J160" s="17">
        <v>9.15</v>
      </c>
      <c r="K160" s="17"/>
      <c r="L160" s="43">
        <v>70.32</v>
      </c>
      <c r="M160" s="17"/>
      <c r="N160" s="17">
        <v>9.15</v>
      </c>
      <c r="O160" s="17"/>
      <c r="P160" s="19"/>
    </row>
    <row r="161" ht="12" customHeight="1" spans="1:16">
      <c r="A161" s="14"/>
      <c r="B161" s="15"/>
      <c r="C161" s="18">
        <v>25</v>
      </c>
      <c r="D161" s="16"/>
      <c r="E161" s="17">
        <v>2041.47</v>
      </c>
      <c r="F161" s="17"/>
      <c r="G161" s="17">
        <v>234.06</v>
      </c>
      <c r="H161" s="16"/>
      <c r="I161" s="17">
        <v>1734.41</v>
      </c>
      <c r="J161" s="17"/>
      <c r="K161" s="17">
        <v>234</v>
      </c>
      <c r="L161" s="43"/>
      <c r="M161" s="17">
        <f>(L160+L162)/2*25</f>
        <v>1331</v>
      </c>
      <c r="N161" s="17"/>
      <c r="O161" s="17">
        <f>(N160+N162)/2*25</f>
        <v>234</v>
      </c>
      <c r="P161" s="19">
        <f>I161+K161-M161-O161</f>
        <v>403.41</v>
      </c>
    </row>
    <row r="162" ht="12" customHeight="1" spans="1:16">
      <c r="A162" s="14">
        <v>77</v>
      </c>
      <c r="B162" s="15" t="s">
        <v>92</v>
      </c>
      <c r="C162" s="18"/>
      <c r="D162" s="16">
        <v>62.18</v>
      </c>
      <c r="E162" s="17"/>
      <c r="F162" s="17">
        <v>9.57</v>
      </c>
      <c r="G162" s="17"/>
      <c r="H162" s="16">
        <v>49.9</v>
      </c>
      <c r="I162" s="17"/>
      <c r="J162" s="17">
        <v>9.57</v>
      </c>
      <c r="K162" s="17"/>
      <c r="L162" s="43">
        <v>36.16</v>
      </c>
      <c r="M162" s="17"/>
      <c r="N162" s="17">
        <v>9.57</v>
      </c>
      <c r="O162" s="17"/>
      <c r="P162" s="19"/>
    </row>
    <row r="163" ht="12" customHeight="1" spans="1:16">
      <c r="A163" s="14"/>
      <c r="B163" s="15"/>
      <c r="C163" s="18">
        <v>25</v>
      </c>
      <c r="D163" s="16"/>
      <c r="E163" s="17">
        <v>1531.06</v>
      </c>
      <c r="F163" s="17"/>
      <c r="G163" s="17">
        <v>244.94</v>
      </c>
      <c r="H163" s="16"/>
      <c r="I163" s="17">
        <v>1178.41</v>
      </c>
      <c r="J163" s="17"/>
      <c r="K163" s="17">
        <v>244.88</v>
      </c>
      <c r="L163" s="43"/>
      <c r="M163" s="17">
        <f>(L162+L164)/2*25</f>
        <v>899.75</v>
      </c>
      <c r="N163" s="17"/>
      <c r="O163" s="17">
        <f>(N162+N164)/2*25</f>
        <v>244.875</v>
      </c>
      <c r="P163" s="19">
        <f>I163+K163-M163-O163</f>
        <v>278.665</v>
      </c>
    </row>
    <row r="164" ht="12" customHeight="1" spans="1:16">
      <c r="A164" s="14">
        <v>78</v>
      </c>
      <c r="B164" s="15" t="s">
        <v>93</v>
      </c>
      <c r="C164" s="18"/>
      <c r="D164" s="16">
        <v>60.31</v>
      </c>
      <c r="E164" s="17"/>
      <c r="F164" s="17">
        <v>10.02</v>
      </c>
      <c r="G164" s="17"/>
      <c r="H164" s="16">
        <v>44.37</v>
      </c>
      <c r="I164" s="17"/>
      <c r="J164" s="17">
        <v>10.02</v>
      </c>
      <c r="K164" s="17"/>
      <c r="L164" s="43">
        <v>35.82</v>
      </c>
      <c r="M164" s="17"/>
      <c r="N164" s="17">
        <v>10.02</v>
      </c>
      <c r="O164" s="17"/>
      <c r="P164" s="19"/>
    </row>
    <row r="165" ht="12" customHeight="1" spans="1:16">
      <c r="A165" s="14"/>
      <c r="B165" s="15"/>
      <c r="C165" s="18">
        <v>25</v>
      </c>
      <c r="D165" s="16"/>
      <c r="E165" s="17">
        <v>1679.63</v>
      </c>
      <c r="F165" s="17"/>
      <c r="G165" s="17">
        <v>256.29</v>
      </c>
      <c r="H165" s="16"/>
      <c r="I165" s="17">
        <v>1144.61</v>
      </c>
      <c r="J165" s="17"/>
      <c r="K165" s="17">
        <v>256.25</v>
      </c>
      <c r="L165" s="43"/>
      <c r="M165" s="17">
        <f>(L164+L166)/2*25</f>
        <v>848.875</v>
      </c>
      <c r="N165" s="17"/>
      <c r="O165" s="17">
        <f>(N164+N166)/2*25</f>
        <v>256.25</v>
      </c>
      <c r="P165" s="19">
        <f>I165+K165-M165-O165</f>
        <v>295.735</v>
      </c>
    </row>
    <row r="166" ht="12" customHeight="1" spans="1:16">
      <c r="A166" s="14">
        <v>79</v>
      </c>
      <c r="B166" s="15" t="s">
        <v>94</v>
      </c>
      <c r="C166" s="18"/>
      <c r="D166" s="16">
        <v>74.06</v>
      </c>
      <c r="E166" s="17"/>
      <c r="F166" s="17">
        <v>10.48</v>
      </c>
      <c r="G166" s="17"/>
      <c r="H166" s="16">
        <v>47.2</v>
      </c>
      <c r="I166" s="17"/>
      <c r="J166" s="17">
        <v>10.48</v>
      </c>
      <c r="K166" s="17"/>
      <c r="L166" s="43">
        <v>32.09</v>
      </c>
      <c r="M166" s="17"/>
      <c r="N166" s="17">
        <v>10.48</v>
      </c>
      <c r="O166" s="17"/>
      <c r="P166" s="19"/>
    </row>
    <row r="167" ht="12" customHeight="1" spans="1:16">
      <c r="A167" s="14"/>
      <c r="B167" s="15"/>
      <c r="C167" s="18">
        <v>25</v>
      </c>
      <c r="D167" s="16"/>
      <c r="E167" s="17">
        <v>1932.07</v>
      </c>
      <c r="F167" s="17"/>
      <c r="G167" s="17">
        <v>269.99</v>
      </c>
      <c r="H167" s="16"/>
      <c r="I167" s="17">
        <v>1449.66</v>
      </c>
      <c r="J167" s="17"/>
      <c r="K167" s="17">
        <v>270</v>
      </c>
      <c r="L167" s="43"/>
      <c r="M167" s="17">
        <f>(L166+L168)/2*25</f>
        <v>1088.375</v>
      </c>
      <c r="N167" s="17"/>
      <c r="O167" s="17">
        <f>(N166+N168)/2*25</f>
        <v>270</v>
      </c>
      <c r="P167" s="19">
        <f>I167+K167-M167-O167</f>
        <v>361.285</v>
      </c>
    </row>
    <row r="168" ht="12" customHeight="1" spans="1:16">
      <c r="A168" s="14">
        <v>80</v>
      </c>
      <c r="B168" s="15" t="s">
        <v>95</v>
      </c>
      <c r="C168" s="18"/>
      <c r="D168" s="16">
        <v>80.5</v>
      </c>
      <c r="E168" s="17"/>
      <c r="F168" s="17">
        <v>11.12</v>
      </c>
      <c r="G168" s="17"/>
      <c r="H168" s="16">
        <v>68.77</v>
      </c>
      <c r="I168" s="17"/>
      <c r="J168" s="17">
        <v>11.12</v>
      </c>
      <c r="K168" s="17"/>
      <c r="L168" s="43">
        <v>54.98</v>
      </c>
      <c r="M168" s="17"/>
      <c r="N168" s="17">
        <v>11.12</v>
      </c>
      <c r="O168" s="17"/>
      <c r="P168" s="19"/>
    </row>
    <row r="169" ht="12" customHeight="1" spans="1:16">
      <c r="A169" s="14"/>
      <c r="B169" s="15"/>
      <c r="C169" s="18">
        <v>25</v>
      </c>
      <c r="D169" s="16"/>
      <c r="E169" s="17">
        <v>2239.88</v>
      </c>
      <c r="F169" s="17"/>
      <c r="G169" s="17">
        <v>296.78</v>
      </c>
      <c r="H169" s="16"/>
      <c r="I169" s="17">
        <v>1791.37</v>
      </c>
      <c r="J169" s="17"/>
      <c r="K169" s="17">
        <v>296.75</v>
      </c>
      <c r="L169" s="43"/>
      <c r="M169" s="17">
        <f>(L168+L170)/2*25</f>
        <v>1390.125</v>
      </c>
      <c r="N169" s="17"/>
      <c r="O169" s="17">
        <f>(N168+N170)/2*25</f>
        <v>296.75</v>
      </c>
      <c r="P169" s="19">
        <f>I169+K169-M169-O169</f>
        <v>401.245</v>
      </c>
    </row>
    <row r="170" ht="12" customHeight="1" spans="1:16">
      <c r="A170" s="14">
        <v>81</v>
      </c>
      <c r="B170" s="15" t="s">
        <v>96</v>
      </c>
      <c r="C170" s="18"/>
      <c r="D170" s="16">
        <v>98.69</v>
      </c>
      <c r="E170" s="17"/>
      <c r="F170" s="17">
        <v>12.62</v>
      </c>
      <c r="G170" s="17"/>
      <c r="H170" s="16">
        <v>74.54</v>
      </c>
      <c r="I170" s="17"/>
      <c r="J170" s="17">
        <v>12.62</v>
      </c>
      <c r="K170" s="17"/>
      <c r="L170" s="43">
        <v>56.23</v>
      </c>
      <c r="M170" s="17"/>
      <c r="N170" s="17">
        <v>12.62</v>
      </c>
      <c r="O170" s="17"/>
      <c r="P170" s="19"/>
    </row>
    <row r="171" ht="12" customHeight="1" spans="1:16">
      <c r="A171" s="14"/>
      <c r="B171" s="15"/>
      <c r="C171" s="18">
        <v>25</v>
      </c>
      <c r="D171" s="16"/>
      <c r="E171" s="17">
        <v>2637.91</v>
      </c>
      <c r="F171" s="17"/>
      <c r="G171" s="17">
        <v>338.7</v>
      </c>
      <c r="H171" s="16"/>
      <c r="I171" s="17">
        <v>1923.41</v>
      </c>
      <c r="J171" s="17"/>
      <c r="K171" s="17">
        <v>338.63</v>
      </c>
      <c r="L171" s="43"/>
      <c r="M171" s="17">
        <f>(L170+L172)/2*25</f>
        <v>1483.875</v>
      </c>
      <c r="N171" s="17"/>
      <c r="O171" s="17">
        <f>(N170+N172)/2*25</f>
        <v>338.625</v>
      </c>
      <c r="P171" s="19">
        <f>I171+K171-M171-O171</f>
        <v>439.54</v>
      </c>
    </row>
    <row r="172" ht="12" customHeight="1" spans="1:16">
      <c r="A172" s="14">
        <v>82</v>
      </c>
      <c r="B172" s="15" t="s">
        <v>97</v>
      </c>
      <c r="C172" s="18"/>
      <c r="D172" s="16">
        <v>112.35</v>
      </c>
      <c r="E172" s="17"/>
      <c r="F172" s="17">
        <v>14.47</v>
      </c>
      <c r="G172" s="17"/>
      <c r="H172" s="16">
        <v>79.34</v>
      </c>
      <c r="I172" s="17"/>
      <c r="J172" s="17">
        <v>14.47</v>
      </c>
      <c r="K172" s="17"/>
      <c r="L172" s="43">
        <v>62.48</v>
      </c>
      <c r="M172" s="17"/>
      <c r="N172" s="17">
        <v>14.47</v>
      </c>
      <c r="O172" s="17"/>
      <c r="P172" s="19"/>
    </row>
    <row r="173" ht="12" customHeight="1" spans="1:16">
      <c r="A173" s="14"/>
      <c r="B173" s="15"/>
      <c r="C173" s="18">
        <v>25</v>
      </c>
      <c r="D173" s="16"/>
      <c r="E173" s="17">
        <v>3152.6</v>
      </c>
      <c r="F173" s="17"/>
      <c r="G173" s="17">
        <v>395.62</v>
      </c>
      <c r="H173" s="16"/>
      <c r="I173" s="17">
        <v>2463.41</v>
      </c>
      <c r="J173" s="17"/>
      <c r="K173" s="17">
        <v>395.63</v>
      </c>
      <c r="L173" s="43"/>
      <c r="M173" s="17">
        <f>(L172+L174)/2*25</f>
        <v>2002.25</v>
      </c>
      <c r="N173" s="17"/>
      <c r="O173" s="17">
        <f>(N172+N174)/2*25</f>
        <v>395.625</v>
      </c>
      <c r="P173" s="19">
        <f>I173+K173-M173-O173</f>
        <v>461.165</v>
      </c>
    </row>
    <row r="174" ht="12" customHeight="1" spans="1:16">
      <c r="A174" s="14">
        <v>83</v>
      </c>
      <c r="B174" s="15" t="s">
        <v>98</v>
      </c>
      <c r="C174" s="18"/>
      <c r="D174" s="16">
        <v>139.86</v>
      </c>
      <c r="E174" s="17"/>
      <c r="F174" s="17">
        <v>17.18</v>
      </c>
      <c r="G174" s="17"/>
      <c r="H174" s="16">
        <v>117.74</v>
      </c>
      <c r="I174" s="17"/>
      <c r="J174" s="17">
        <v>17.18</v>
      </c>
      <c r="K174" s="17"/>
      <c r="L174" s="43">
        <v>97.7</v>
      </c>
      <c r="M174" s="17"/>
      <c r="N174" s="17">
        <v>17.18</v>
      </c>
      <c r="O174" s="17"/>
      <c r="P174" s="19"/>
    </row>
    <row r="175" ht="12" customHeight="1" spans="1:16">
      <c r="A175" s="14"/>
      <c r="B175" s="15"/>
      <c r="C175" s="18">
        <v>25</v>
      </c>
      <c r="D175" s="16"/>
      <c r="E175" s="17">
        <v>3459.03</v>
      </c>
      <c r="F175" s="17"/>
      <c r="G175" s="17">
        <v>454.29</v>
      </c>
      <c r="H175" s="16"/>
      <c r="I175" s="17">
        <v>2938.23</v>
      </c>
      <c r="J175" s="17"/>
      <c r="K175" s="17">
        <v>454.38</v>
      </c>
      <c r="L175" s="43"/>
      <c r="M175" s="17">
        <f>(L174+L176)/2*25</f>
        <v>2468.875</v>
      </c>
      <c r="N175" s="17"/>
      <c r="O175" s="17">
        <f>(N174+N176)/2*25</f>
        <v>454.375</v>
      </c>
      <c r="P175" s="19">
        <f>I175+K175-M175-O175</f>
        <v>469.36</v>
      </c>
    </row>
    <row r="176" ht="12" customHeight="1" spans="1:16">
      <c r="A176" s="14">
        <v>84</v>
      </c>
      <c r="B176" s="15" t="s">
        <v>99</v>
      </c>
      <c r="C176" s="18"/>
      <c r="D176" s="16">
        <v>136.86</v>
      </c>
      <c r="E176" s="17"/>
      <c r="F176" s="17">
        <v>19.17</v>
      </c>
      <c r="G176" s="17"/>
      <c r="H176" s="16">
        <v>117.32</v>
      </c>
      <c r="I176" s="17"/>
      <c r="J176" s="17">
        <v>19.17</v>
      </c>
      <c r="K176" s="17"/>
      <c r="L176" s="43">
        <v>99.81</v>
      </c>
      <c r="M176" s="17"/>
      <c r="N176" s="17">
        <v>19.17</v>
      </c>
      <c r="O176" s="17"/>
      <c r="P176" s="19"/>
    </row>
    <row r="177" ht="12" customHeight="1" spans="1:16">
      <c r="A177" s="14"/>
      <c r="B177" s="15"/>
      <c r="C177" s="18">
        <v>25</v>
      </c>
      <c r="D177" s="16"/>
      <c r="E177" s="17">
        <v>3489.56</v>
      </c>
      <c r="F177" s="17"/>
      <c r="G177" s="17">
        <v>514.14</v>
      </c>
      <c r="H177" s="16"/>
      <c r="I177" s="17">
        <v>2948.06</v>
      </c>
      <c r="J177" s="17"/>
      <c r="K177" s="17">
        <v>514.25</v>
      </c>
      <c r="L177" s="43"/>
      <c r="M177" s="17">
        <f>(L176+L178)/2*25</f>
        <v>2507.25</v>
      </c>
      <c r="N177" s="17"/>
      <c r="O177" s="17">
        <f>(N176+N178)/2*25</f>
        <v>514.25</v>
      </c>
      <c r="P177" s="19">
        <f>I177+K177-M177-O177</f>
        <v>440.81</v>
      </c>
    </row>
    <row r="178" ht="12" customHeight="1" spans="1:16">
      <c r="A178" s="14">
        <v>85</v>
      </c>
      <c r="B178" s="15" t="s">
        <v>100</v>
      </c>
      <c r="C178" s="18"/>
      <c r="D178" s="16">
        <v>142.3</v>
      </c>
      <c r="E178" s="17"/>
      <c r="F178" s="17">
        <v>21.97</v>
      </c>
      <c r="G178" s="17"/>
      <c r="H178" s="16">
        <v>118.52</v>
      </c>
      <c r="I178" s="17"/>
      <c r="J178" s="17">
        <v>21.97</v>
      </c>
      <c r="K178" s="17"/>
      <c r="L178" s="43">
        <v>100.77</v>
      </c>
      <c r="M178" s="17"/>
      <c r="N178" s="17">
        <v>21.97</v>
      </c>
      <c r="O178" s="17"/>
      <c r="P178" s="19"/>
    </row>
    <row r="179" ht="12" customHeight="1" spans="1:16">
      <c r="A179" s="14"/>
      <c r="B179" s="15"/>
      <c r="C179" s="18">
        <v>25</v>
      </c>
      <c r="D179" s="16"/>
      <c r="E179" s="17">
        <v>4045.51</v>
      </c>
      <c r="F179" s="17"/>
      <c r="G179" s="17">
        <v>603.03</v>
      </c>
      <c r="H179" s="16"/>
      <c r="I179" s="17">
        <v>3469.43</v>
      </c>
      <c r="J179" s="17"/>
      <c r="K179" s="17">
        <v>603.13</v>
      </c>
      <c r="L179" s="43"/>
      <c r="M179" s="17">
        <f>(L178+L180)/2*25</f>
        <v>2999.375</v>
      </c>
      <c r="N179" s="17"/>
      <c r="O179" s="17">
        <f>(N178+N180)/2*25</f>
        <v>603.125</v>
      </c>
      <c r="P179" s="19">
        <f>I179+K179-M179-O179</f>
        <v>470.06</v>
      </c>
    </row>
    <row r="180" ht="12" customHeight="1" spans="1:16">
      <c r="A180" s="14">
        <v>86</v>
      </c>
      <c r="B180" s="15" t="s">
        <v>101</v>
      </c>
      <c r="C180" s="18"/>
      <c r="D180" s="16">
        <v>181.34</v>
      </c>
      <c r="E180" s="17"/>
      <c r="F180" s="17">
        <v>26.28</v>
      </c>
      <c r="G180" s="17"/>
      <c r="H180" s="16">
        <v>159.03</v>
      </c>
      <c r="I180" s="17"/>
      <c r="J180" s="17">
        <v>26.28</v>
      </c>
      <c r="K180" s="17"/>
      <c r="L180" s="43">
        <v>139.18</v>
      </c>
      <c r="M180" s="17"/>
      <c r="N180" s="17">
        <v>26.28</v>
      </c>
      <c r="O180" s="17"/>
      <c r="P180" s="19"/>
    </row>
    <row r="181" ht="12" customHeight="1" spans="1:16">
      <c r="A181" s="14"/>
      <c r="B181" s="15"/>
      <c r="C181" s="18">
        <v>25</v>
      </c>
      <c r="D181" s="16"/>
      <c r="E181" s="17">
        <v>5034.03</v>
      </c>
      <c r="F181" s="17"/>
      <c r="G181" s="17">
        <v>684.36</v>
      </c>
      <c r="H181" s="16"/>
      <c r="I181" s="17">
        <v>4590.14</v>
      </c>
      <c r="J181" s="17"/>
      <c r="K181" s="17">
        <v>684.38</v>
      </c>
      <c r="L181" s="43"/>
      <c r="M181" s="17">
        <f>(L180+L182)/2*25</f>
        <v>4099.125</v>
      </c>
      <c r="N181" s="17"/>
      <c r="O181" s="17">
        <f>(N180+N182)/2*25</f>
        <v>684.375</v>
      </c>
      <c r="P181" s="19">
        <f>I181+K181-M181-O181</f>
        <v>491.02</v>
      </c>
    </row>
    <row r="182" ht="12" customHeight="1" spans="1:16">
      <c r="A182" s="14">
        <v>87</v>
      </c>
      <c r="B182" s="15" t="s">
        <v>102</v>
      </c>
      <c r="C182" s="18"/>
      <c r="D182" s="16">
        <v>221.39</v>
      </c>
      <c r="E182" s="17"/>
      <c r="F182" s="17">
        <v>28.47</v>
      </c>
      <c r="G182" s="17"/>
      <c r="H182" s="16">
        <v>208.18</v>
      </c>
      <c r="I182" s="17"/>
      <c r="J182" s="17">
        <v>28.47</v>
      </c>
      <c r="K182" s="17"/>
      <c r="L182" s="43">
        <v>188.75</v>
      </c>
      <c r="M182" s="17"/>
      <c r="N182" s="17">
        <v>28.47</v>
      </c>
      <c r="O182" s="17"/>
      <c r="P182" s="19"/>
    </row>
    <row r="183" ht="12" customHeight="1" spans="1:16">
      <c r="A183" s="14"/>
      <c r="B183" s="15"/>
      <c r="C183" s="18">
        <v>25</v>
      </c>
      <c r="D183" s="16"/>
      <c r="E183" s="17">
        <v>5833.2</v>
      </c>
      <c r="F183" s="17"/>
      <c r="G183" s="17">
        <v>742.05</v>
      </c>
      <c r="H183" s="16"/>
      <c r="I183" s="17">
        <v>5098.55</v>
      </c>
      <c r="J183" s="17"/>
      <c r="K183" s="17">
        <v>742</v>
      </c>
      <c r="L183" s="43"/>
      <c r="M183" s="17">
        <f>(L182+L184)/2*25</f>
        <v>4674.75</v>
      </c>
      <c r="N183" s="17"/>
      <c r="O183" s="17">
        <f>(N182+N184)/2*25</f>
        <v>742</v>
      </c>
      <c r="P183" s="19">
        <f>I183+K183-M183-O183</f>
        <v>423.8</v>
      </c>
    </row>
    <row r="184" ht="12" customHeight="1" spans="1:16">
      <c r="A184" s="14">
        <v>88</v>
      </c>
      <c r="B184" s="15" t="s">
        <v>103</v>
      </c>
      <c r="C184" s="18"/>
      <c r="D184" s="16">
        <v>245.27</v>
      </c>
      <c r="E184" s="17"/>
      <c r="F184" s="17">
        <v>30.89</v>
      </c>
      <c r="G184" s="17"/>
      <c r="H184" s="16">
        <v>199.7</v>
      </c>
      <c r="I184" s="17"/>
      <c r="J184" s="17">
        <v>30.89</v>
      </c>
      <c r="K184" s="17"/>
      <c r="L184" s="43">
        <v>185.23</v>
      </c>
      <c r="M184" s="17"/>
      <c r="N184" s="17">
        <v>30.89</v>
      </c>
      <c r="O184" s="17"/>
      <c r="P184" s="19"/>
    </row>
    <row r="185" ht="12" customHeight="1" spans="1:16">
      <c r="A185" s="14"/>
      <c r="B185" s="15"/>
      <c r="C185" s="18">
        <v>25</v>
      </c>
      <c r="D185" s="16"/>
      <c r="E185" s="17">
        <v>7482.81</v>
      </c>
      <c r="F185" s="17"/>
      <c r="G185" s="17">
        <v>818.44</v>
      </c>
      <c r="H185" s="16"/>
      <c r="I185" s="17">
        <v>6060.17</v>
      </c>
      <c r="J185" s="17"/>
      <c r="K185" s="17">
        <v>818.38</v>
      </c>
      <c r="L185" s="43"/>
      <c r="M185" s="17">
        <f>(L184+L186)/2*25</f>
        <v>5148.75</v>
      </c>
      <c r="N185" s="17"/>
      <c r="O185" s="17">
        <f>(N184+N186)/2*25</f>
        <v>818.375</v>
      </c>
      <c r="P185" s="19">
        <f>I185+K185-M185-O185</f>
        <v>911.425</v>
      </c>
    </row>
    <row r="186" ht="12" customHeight="1" spans="1:16">
      <c r="A186" s="14">
        <v>89</v>
      </c>
      <c r="B186" s="15" t="s">
        <v>104</v>
      </c>
      <c r="C186" s="18"/>
      <c r="D186" s="16">
        <v>353.35</v>
      </c>
      <c r="E186" s="17"/>
      <c r="F186" s="17">
        <v>34.58</v>
      </c>
      <c r="G186" s="17"/>
      <c r="H186" s="16">
        <v>285.11</v>
      </c>
      <c r="I186" s="17"/>
      <c r="J186" s="17">
        <v>34.58</v>
      </c>
      <c r="K186" s="17"/>
      <c r="L186" s="43">
        <v>226.67</v>
      </c>
      <c r="M186" s="17"/>
      <c r="N186" s="17">
        <v>34.58</v>
      </c>
      <c r="O186" s="17"/>
      <c r="P186" s="19"/>
    </row>
    <row r="187" ht="12" customHeight="1" spans="1:16">
      <c r="A187" s="14"/>
      <c r="B187" s="15"/>
      <c r="C187" s="18">
        <v>25</v>
      </c>
      <c r="D187" s="16"/>
      <c r="E187" s="17">
        <v>9667.12</v>
      </c>
      <c r="F187" s="17"/>
      <c r="G187" s="17">
        <v>933.98</v>
      </c>
      <c r="H187" s="16"/>
      <c r="I187" s="17">
        <v>7952.38</v>
      </c>
      <c r="J187" s="17"/>
      <c r="K187" s="17">
        <v>934</v>
      </c>
      <c r="L187" s="43"/>
      <c r="M187" s="17">
        <f>(L186+L188)/2*25</f>
        <v>6081.625</v>
      </c>
      <c r="N187" s="17"/>
      <c r="O187" s="17">
        <f>(N186+N188)/2*25</f>
        <v>934</v>
      </c>
      <c r="P187" s="19">
        <f>I187+K187-M187-O187</f>
        <v>1870.755</v>
      </c>
    </row>
    <row r="188" ht="12" customHeight="1" spans="1:16">
      <c r="A188" s="14">
        <v>90</v>
      </c>
      <c r="B188" s="15" t="s">
        <v>105</v>
      </c>
      <c r="C188" s="18"/>
      <c r="D188" s="16">
        <v>420.01</v>
      </c>
      <c r="E188" s="17"/>
      <c r="F188" s="17">
        <v>40.14</v>
      </c>
      <c r="G188" s="17"/>
      <c r="H188" s="16">
        <v>351.08</v>
      </c>
      <c r="I188" s="17"/>
      <c r="J188" s="17">
        <v>40.14</v>
      </c>
      <c r="K188" s="17"/>
      <c r="L188" s="43">
        <v>259.86</v>
      </c>
      <c r="M188" s="17"/>
      <c r="N188" s="17">
        <v>40.14</v>
      </c>
      <c r="O188" s="17"/>
      <c r="P188" s="19"/>
    </row>
    <row r="189" ht="12" customHeight="1" spans="1:16">
      <c r="A189" s="14"/>
      <c r="B189" s="15"/>
      <c r="C189" s="18">
        <v>25</v>
      </c>
      <c r="D189" s="16"/>
      <c r="E189" s="17">
        <v>11160.24</v>
      </c>
      <c r="F189" s="17"/>
      <c r="G189" s="17">
        <v>1165.12</v>
      </c>
      <c r="H189" s="16"/>
      <c r="I189" s="17">
        <v>9463.13</v>
      </c>
      <c r="J189" s="17"/>
      <c r="K189" s="17">
        <v>1165.13</v>
      </c>
      <c r="L189" s="43"/>
      <c r="M189" s="17">
        <f>(L188+L190)/2*25</f>
        <v>7120.625</v>
      </c>
      <c r="N189" s="17"/>
      <c r="O189" s="17">
        <f>(N188+N190)/2*25</f>
        <v>1165.125</v>
      </c>
      <c r="P189" s="19">
        <f>I189+K189-M189-O189</f>
        <v>2342.51</v>
      </c>
    </row>
    <row r="190" ht="12" customHeight="1" spans="1:16">
      <c r="A190" s="14">
        <v>91</v>
      </c>
      <c r="B190" s="15" t="s">
        <v>106</v>
      </c>
      <c r="C190" s="18"/>
      <c r="D190" s="16">
        <v>472.8</v>
      </c>
      <c r="E190" s="17"/>
      <c r="F190" s="17">
        <v>53.07</v>
      </c>
      <c r="G190" s="17"/>
      <c r="H190" s="16">
        <v>405.97</v>
      </c>
      <c r="I190" s="17"/>
      <c r="J190" s="17">
        <v>53.07</v>
      </c>
      <c r="K190" s="17"/>
      <c r="L190" s="43">
        <v>309.79</v>
      </c>
      <c r="M190" s="17"/>
      <c r="N190" s="17">
        <v>53.07</v>
      </c>
      <c r="O190" s="17"/>
      <c r="P190" s="19"/>
    </row>
    <row r="191" ht="12" customHeight="1" spans="1:16">
      <c r="A191" s="14"/>
      <c r="B191" s="15"/>
      <c r="C191" s="18">
        <v>25</v>
      </c>
      <c r="D191" s="16"/>
      <c r="E191" s="17">
        <v>11606.22</v>
      </c>
      <c r="F191" s="17"/>
      <c r="G191" s="17">
        <v>1354.5</v>
      </c>
      <c r="H191" s="16"/>
      <c r="I191" s="17">
        <v>9989.63</v>
      </c>
      <c r="J191" s="17"/>
      <c r="K191" s="17">
        <v>1354.5</v>
      </c>
      <c r="L191" s="43"/>
      <c r="M191" s="17">
        <f>(L190+L192)/2*25</f>
        <v>7710.125</v>
      </c>
      <c r="N191" s="17"/>
      <c r="O191" s="17">
        <f>(N190+N192)/2*25</f>
        <v>1354.5</v>
      </c>
      <c r="P191" s="19">
        <f>I191+K191-M191-O191</f>
        <v>2279.505</v>
      </c>
    </row>
    <row r="192" ht="12" customHeight="1" spans="1:16">
      <c r="A192" s="14">
        <v>92</v>
      </c>
      <c r="B192" s="15" t="s">
        <v>107</v>
      </c>
      <c r="C192" s="18"/>
      <c r="D192" s="16">
        <v>455.69</v>
      </c>
      <c r="E192" s="17"/>
      <c r="F192" s="17">
        <v>55.29</v>
      </c>
      <c r="G192" s="17"/>
      <c r="H192" s="16">
        <v>393.2</v>
      </c>
      <c r="I192" s="17"/>
      <c r="J192" s="17">
        <v>55.29</v>
      </c>
      <c r="K192" s="17"/>
      <c r="L192" s="43">
        <v>307.02</v>
      </c>
      <c r="M192" s="17"/>
      <c r="N192" s="17">
        <v>55.29</v>
      </c>
      <c r="O192" s="17"/>
      <c r="P192" s="19"/>
    </row>
    <row r="193" ht="12" customHeight="1" spans="1:16">
      <c r="A193" s="14"/>
      <c r="B193" s="15"/>
      <c r="C193" s="18">
        <v>25</v>
      </c>
      <c r="D193" s="16"/>
      <c r="E193" s="17">
        <v>11728.37</v>
      </c>
      <c r="F193" s="17"/>
      <c r="G193" s="17">
        <v>1370.93</v>
      </c>
      <c r="H193" s="16"/>
      <c r="I193" s="17">
        <v>10084.25</v>
      </c>
      <c r="J193" s="17"/>
      <c r="K193" s="17">
        <v>1371</v>
      </c>
      <c r="L193" s="43"/>
      <c r="M193" s="17">
        <f>(L192+L194)/2*25</f>
        <v>7892</v>
      </c>
      <c r="N193" s="17"/>
      <c r="O193" s="17">
        <f>(N192+N194)/2*25</f>
        <v>1371</v>
      </c>
      <c r="P193" s="19">
        <f>I193+K193-M193-O193</f>
        <v>2192.25</v>
      </c>
    </row>
    <row r="194" ht="12" customHeight="1" spans="1:16">
      <c r="A194" s="14">
        <v>93</v>
      </c>
      <c r="B194" s="15" t="s">
        <v>108</v>
      </c>
      <c r="C194" s="18"/>
      <c r="D194" s="16">
        <v>482.58</v>
      </c>
      <c r="E194" s="17"/>
      <c r="F194" s="17">
        <v>54.39</v>
      </c>
      <c r="G194" s="17"/>
      <c r="H194" s="16">
        <v>413.54</v>
      </c>
      <c r="I194" s="17"/>
      <c r="J194" s="17">
        <v>54.39</v>
      </c>
      <c r="K194" s="17"/>
      <c r="L194" s="43">
        <v>324.34</v>
      </c>
      <c r="M194" s="17"/>
      <c r="N194" s="17">
        <v>54.39</v>
      </c>
      <c r="O194" s="17"/>
      <c r="P194" s="19"/>
    </row>
    <row r="195" ht="12" customHeight="1" spans="1:16">
      <c r="A195" s="14"/>
      <c r="B195" s="15"/>
      <c r="C195" s="18">
        <v>25</v>
      </c>
      <c r="D195" s="16"/>
      <c r="E195" s="17">
        <v>12089.63</v>
      </c>
      <c r="F195" s="17"/>
      <c r="G195" s="17">
        <v>1327.67</v>
      </c>
      <c r="H195" s="16"/>
      <c r="I195" s="17">
        <v>10440.25</v>
      </c>
      <c r="J195" s="17"/>
      <c r="K195" s="17">
        <v>1327.75</v>
      </c>
      <c r="L195" s="43"/>
      <c r="M195" s="17">
        <f>(L194+L196)/2*25</f>
        <v>8231.25</v>
      </c>
      <c r="N195" s="17"/>
      <c r="O195" s="17">
        <f>(N194+N196)/2*25</f>
        <v>1327.75</v>
      </c>
      <c r="P195" s="19">
        <f>I195+K195-M195-O195</f>
        <v>2209</v>
      </c>
    </row>
    <row r="196" ht="12" customHeight="1" spans="1:16">
      <c r="A196" s="14">
        <v>94</v>
      </c>
      <c r="B196" s="15" t="s">
        <v>109</v>
      </c>
      <c r="C196" s="18"/>
      <c r="D196" s="16">
        <v>484.59</v>
      </c>
      <c r="E196" s="17"/>
      <c r="F196" s="17">
        <v>51.83</v>
      </c>
      <c r="G196" s="17"/>
      <c r="H196" s="16">
        <v>421.68</v>
      </c>
      <c r="I196" s="17"/>
      <c r="J196" s="17">
        <v>51.83</v>
      </c>
      <c r="K196" s="17"/>
      <c r="L196" s="43">
        <v>334.16</v>
      </c>
      <c r="M196" s="17"/>
      <c r="N196" s="17">
        <v>51.83</v>
      </c>
      <c r="O196" s="17"/>
      <c r="P196" s="19"/>
    </row>
    <row r="197" ht="12" customHeight="1" spans="1:16">
      <c r="A197" s="14"/>
      <c r="B197" s="15"/>
      <c r="C197" s="18">
        <v>25</v>
      </c>
      <c r="D197" s="16"/>
      <c r="E197" s="17">
        <v>10022.78</v>
      </c>
      <c r="F197" s="17"/>
      <c r="G197" s="17">
        <v>1055.36</v>
      </c>
      <c r="H197" s="16"/>
      <c r="I197" s="17">
        <v>8646.25</v>
      </c>
      <c r="J197" s="17"/>
      <c r="K197" s="17">
        <v>1055.38</v>
      </c>
      <c r="L197" s="43"/>
      <c r="M197" s="17">
        <f>(L196+L198)/2*25</f>
        <v>6605.25</v>
      </c>
      <c r="N197" s="17"/>
      <c r="O197" s="17">
        <f>(N196+N198)/2*25</f>
        <v>1055.375</v>
      </c>
      <c r="P197" s="19">
        <f>I197+K197-M197-O197</f>
        <v>2041.005</v>
      </c>
    </row>
    <row r="198" ht="12" customHeight="1" spans="1:16">
      <c r="A198" s="14">
        <v>95</v>
      </c>
      <c r="B198" s="15" t="s">
        <v>110</v>
      </c>
      <c r="C198" s="18"/>
      <c r="D198" s="16">
        <v>317.23</v>
      </c>
      <c r="E198" s="17"/>
      <c r="F198" s="17">
        <v>32.6</v>
      </c>
      <c r="G198" s="17"/>
      <c r="H198" s="16">
        <v>270.02</v>
      </c>
      <c r="I198" s="17"/>
      <c r="J198" s="17">
        <v>32.6</v>
      </c>
      <c r="K198" s="17"/>
      <c r="L198" s="43">
        <v>194.26</v>
      </c>
      <c r="M198" s="17"/>
      <c r="N198" s="17">
        <v>32.6</v>
      </c>
      <c r="O198" s="17"/>
      <c r="P198" s="19"/>
    </row>
    <row r="199" ht="12" customHeight="1" spans="1:16">
      <c r="A199" s="14"/>
      <c r="B199" s="15"/>
      <c r="C199" s="18">
        <v>25</v>
      </c>
      <c r="D199" s="16"/>
      <c r="E199" s="17">
        <v>6118.97</v>
      </c>
      <c r="F199" s="17"/>
      <c r="G199" s="17">
        <v>407.54</v>
      </c>
      <c r="H199" s="16"/>
      <c r="I199" s="17">
        <v>4889.75</v>
      </c>
      <c r="J199" s="17"/>
      <c r="K199" s="17">
        <v>407.5</v>
      </c>
      <c r="L199" s="43"/>
      <c r="M199" s="17">
        <f>(L198+L200)/2*25</f>
        <v>3427.75</v>
      </c>
      <c r="N199" s="17"/>
      <c r="O199" s="17">
        <f>(N198+N200)/2*25</f>
        <v>407.5</v>
      </c>
      <c r="P199" s="19">
        <f>I199+K199-M199-O199</f>
        <v>1462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172.29</v>
      </c>
      <c r="E200" s="17"/>
      <c r="F200" s="17">
        <v>0</v>
      </c>
      <c r="G200" s="17"/>
      <c r="H200" s="16">
        <v>121.16</v>
      </c>
      <c r="I200" s="17"/>
      <c r="J200" s="17">
        <v>0</v>
      </c>
      <c r="K200" s="17"/>
      <c r="L200" s="43">
        <v>79.96</v>
      </c>
      <c r="M200" s="17"/>
      <c r="N200" s="17">
        <v>0</v>
      </c>
      <c r="O200" s="17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2913.86</v>
      </c>
      <c r="F201" s="17"/>
      <c r="G201" s="17">
        <v>0</v>
      </c>
      <c r="H201" s="16"/>
      <c r="I201" s="17">
        <v>2013.38</v>
      </c>
      <c r="J201" s="17"/>
      <c r="K201" s="17">
        <v>0</v>
      </c>
      <c r="L201" s="43"/>
      <c r="M201" s="17">
        <f>(L200+L202)/2*25</f>
        <v>1258.625</v>
      </c>
      <c r="N201" s="17"/>
      <c r="O201" s="17">
        <f>(N200+N202)/2*25</f>
        <v>0</v>
      </c>
      <c r="P201" s="19">
        <f>I201+K201-M201-O201</f>
        <v>754.755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60.82</v>
      </c>
      <c r="E202" s="17"/>
      <c r="F202" s="17">
        <v>0</v>
      </c>
      <c r="G202" s="17"/>
      <c r="H202" s="16">
        <v>39.91</v>
      </c>
      <c r="I202" s="17"/>
      <c r="J202" s="17">
        <v>0</v>
      </c>
      <c r="K202" s="17"/>
      <c r="L202" s="43">
        <v>20.73</v>
      </c>
      <c r="M202" s="17"/>
      <c r="N202" s="17">
        <v>0</v>
      </c>
      <c r="O202" s="17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1601.29</v>
      </c>
      <c r="F203" s="17"/>
      <c r="G203" s="17">
        <v>0</v>
      </c>
      <c r="H203" s="16"/>
      <c r="I203" s="17">
        <v>1037.14</v>
      </c>
      <c r="J203" s="17"/>
      <c r="K203" s="17">
        <v>0</v>
      </c>
      <c r="L203" s="43"/>
      <c r="M203" s="17">
        <f>(L202+L204)/2*25</f>
        <v>592.625</v>
      </c>
      <c r="N203" s="17"/>
      <c r="O203" s="17">
        <f>(N202+N204)/2*25</f>
        <v>0</v>
      </c>
      <c r="P203" s="19">
        <f>I203+K203-M203-O203</f>
        <v>444.515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67.28</v>
      </c>
      <c r="E204" s="17"/>
      <c r="F204" s="17">
        <v>0</v>
      </c>
      <c r="G204" s="17"/>
      <c r="H204" s="16">
        <v>43.06</v>
      </c>
      <c r="I204" s="17"/>
      <c r="J204" s="17">
        <v>0</v>
      </c>
      <c r="K204" s="17"/>
      <c r="L204" s="43">
        <v>26.68</v>
      </c>
      <c r="M204" s="17"/>
      <c r="N204" s="17">
        <v>0</v>
      </c>
      <c r="O204" s="17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2811.39</v>
      </c>
      <c r="F205" s="17"/>
      <c r="G205" s="17">
        <v>68.98</v>
      </c>
      <c r="H205" s="16"/>
      <c r="I205" s="17">
        <v>2175.77</v>
      </c>
      <c r="J205" s="17"/>
      <c r="K205" s="17">
        <v>69</v>
      </c>
      <c r="L205" s="43"/>
      <c r="M205" s="17">
        <f>(L204+L206)/2*25</f>
        <v>1670.625</v>
      </c>
      <c r="N205" s="17"/>
      <c r="O205" s="17">
        <f>(N204+N206)/2*25</f>
        <v>69</v>
      </c>
      <c r="P205" s="19">
        <f>I205+K205-M205-O205</f>
        <v>505.145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157.63</v>
      </c>
      <c r="E206" s="17"/>
      <c r="F206" s="17">
        <v>5.52</v>
      </c>
      <c r="G206" s="17"/>
      <c r="H206" s="16">
        <v>131</v>
      </c>
      <c r="I206" s="17"/>
      <c r="J206" s="17">
        <v>5.52</v>
      </c>
      <c r="K206" s="17"/>
      <c r="L206" s="43">
        <v>106.97</v>
      </c>
      <c r="M206" s="17"/>
      <c r="N206" s="17">
        <v>5.52</v>
      </c>
      <c r="O206" s="17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4271.82</v>
      </c>
      <c r="F207" s="17"/>
      <c r="G207" s="17">
        <v>181.77</v>
      </c>
      <c r="H207" s="16"/>
      <c r="I207" s="17">
        <v>3659.22</v>
      </c>
      <c r="J207" s="17"/>
      <c r="K207" s="17">
        <v>181.75</v>
      </c>
      <c r="L207" s="43"/>
      <c r="M207" s="17">
        <f>(L206+L208)/2*25</f>
        <v>2895.875</v>
      </c>
      <c r="N207" s="17"/>
      <c r="O207" s="17">
        <f>(N206+N208)/2*25</f>
        <v>181.75</v>
      </c>
      <c r="P207" s="19">
        <f>I207+K207-M207-O207</f>
        <v>763.345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184.12</v>
      </c>
      <c r="E208" s="17"/>
      <c r="F208" s="17">
        <v>9.02</v>
      </c>
      <c r="G208" s="17"/>
      <c r="H208" s="16">
        <v>161.74</v>
      </c>
      <c r="I208" s="17"/>
      <c r="J208" s="17">
        <v>9.02</v>
      </c>
      <c r="K208" s="17"/>
      <c r="L208" s="43">
        <v>124.7</v>
      </c>
      <c r="M208" s="17"/>
      <c r="N208" s="17">
        <v>9.02</v>
      </c>
      <c r="O208" s="17"/>
      <c r="P208" s="19"/>
    </row>
    <row r="209" ht="12" customHeight="1" spans="1:16">
      <c r="A209" s="14"/>
      <c r="B209" s="15"/>
      <c r="C209" s="18">
        <v>25</v>
      </c>
      <c r="D209" s="16"/>
      <c r="E209" s="17">
        <v>4633.96</v>
      </c>
      <c r="F209" s="17"/>
      <c r="G209" s="17">
        <v>275.82</v>
      </c>
      <c r="H209" s="16"/>
      <c r="I209" s="17">
        <v>4052.61</v>
      </c>
      <c r="J209" s="17"/>
      <c r="K209" s="17">
        <v>275.75</v>
      </c>
      <c r="L209" s="43"/>
      <c r="M209" s="17">
        <f>(L208+L210)/2*25</f>
        <v>3446.375</v>
      </c>
      <c r="N209" s="17"/>
      <c r="O209" s="17">
        <f>(N208+N210)/2*25</f>
        <v>275.75</v>
      </c>
      <c r="P209" s="19">
        <f>I209+K209-M209-O209</f>
        <v>606.235000000001</v>
      </c>
    </row>
    <row r="210" ht="12" customHeight="1" spans="1:16">
      <c r="A210" s="14">
        <v>101</v>
      </c>
      <c r="B210" s="15" t="s">
        <v>116</v>
      </c>
      <c r="C210" s="18"/>
      <c r="D210" s="16">
        <v>186.6</v>
      </c>
      <c r="E210" s="17"/>
      <c r="F210" s="17">
        <v>13.04</v>
      </c>
      <c r="G210" s="17"/>
      <c r="H210" s="16">
        <v>162.47</v>
      </c>
      <c r="I210" s="17"/>
      <c r="J210" s="17">
        <v>13.04</v>
      </c>
      <c r="K210" s="17"/>
      <c r="L210" s="43">
        <v>151.01</v>
      </c>
      <c r="M210" s="17"/>
      <c r="N210" s="17">
        <v>13.04</v>
      </c>
      <c r="O210" s="17"/>
      <c r="P210" s="19"/>
    </row>
    <row r="211" ht="12" customHeight="1" spans="1:16">
      <c r="A211" s="14"/>
      <c r="B211" s="15"/>
      <c r="C211" s="18">
        <v>25</v>
      </c>
      <c r="D211" s="16"/>
      <c r="E211" s="17">
        <v>4993.06</v>
      </c>
      <c r="F211" s="17"/>
      <c r="G211" s="17">
        <v>364.68</v>
      </c>
      <c r="H211" s="16"/>
      <c r="I211" s="17">
        <v>4424.44</v>
      </c>
      <c r="J211" s="17"/>
      <c r="K211" s="17">
        <v>364.63</v>
      </c>
      <c r="L211" s="43"/>
      <c r="M211" s="17">
        <f>(L210+L212)/2*25</f>
        <v>3836.75</v>
      </c>
      <c r="N211" s="17"/>
      <c r="O211" s="17">
        <f>(N210+N212)/2*25</f>
        <v>364.625</v>
      </c>
      <c r="P211" s="19">
        <f>I211+K211-M211-O211</f>
        <v>587.695</v>
      </c>
    </row>
    <row r="212" ht="12" customHeight="1" spans="1:16">
      <c r="A212" s="14">
        <v>102</v>
      </c>
      <c r="B212" s="15" t="s">
        <v>117</v>
      </c>
      <c r="C212" s="18"/>
      <c r="D212" s="16">
        <v>212.85</v>
      </c>
      <c r="E212" s="17"/>
      <c r="F212" s="17">
        <v>16.13</v>
      </c>
      <c r="G212" s="17"/>
      <c r="H212" s="16">
        <v>191.48</v>
      </c>
      <c r="I212" s="17"/>
      <c r="J212" s="17">
        <v>16.13</v>
      </c>
      <c r="K212" s="17"/>
      <c r="L212" s="43">
        <v>155.93</v>
      </c>
      <c r="M212" s="17"/>
      <c r="N212" s="17">
        <v>16.13</v>
      </c>
      <c r="O212" s="17"/>
      <c r="P212" s="19"/>
    </row>
    <row r="213" ht="12" customHeight="1" spans="1:16">
      <c r="A213" s="14"/>
      <c r="B213" s="15"/>
      <c r="C213" s="18">
        <v>25</v>
      </c>
      <c r="D213" s="16"/>
      <c r="E213" s="17">
        <v>7851.31</v>
      </c>
      <c r="F213" s="17"/>
      <c r="G213" s="17">
        <v>701.53</v>
      </c>
      <c r="H213" s="16"/>
      <c r="I213" s="17">
        <v>7296.96</v>
      </c>
      <c r="J213" s="17"/>
      <c r="K213" s="17">
        <v>701.5</v>
      </c>
      <c r="L213" s="43"/>
      <c r="M213" s="17">
        <f>(L212+L214)/2*25</f>
        <v>6231.75</v>
      </c>
      <c r="N213" s="17"/>
      <c r="O213" s="17">
        <f>(N212+N214)/2*25</f>
        <v>701.5</v>
      </c>
      <c r="P213" s="19">
        <f>I213+K213-M213-O213</f>
        <v>1065.21</v>
      </c>
    </row>
    <row r="214" ht="12" customHeight="1" spans="1:16">
      <c r="A214" s="14">
        <v>103</v>
      </c>
      <c r="B214" s="15" t="s">
        <v>118</v>
      </c>
      <c r="C214" s="18"/>
      <c r="D214" s="16">
        <v>415.26</v>
      </c>
      <c r="E214" s="17"/>
      <c r="F214" s="17">
        <v>39.99</v>
      </c>
      <c r="G214" s="17"/>
      <c r="H214" s="16">
        <v>392.27</v>
      </c>
      <c r="I214" s="17"/>
      <c r="J214" s="17">
        <v>39.99</v>
      </c>
      <c r="K214" s="17"/>
      <c r="L214" s="43">
        <v>342.61</v>
      </c>
      <c r="M214" s="17"/>
      <c r="N214" s="17">
        <v>39.99</v>
      </c>
      <c r="O214" s="17"/>
      <c r="P214" s="19"/>
    </row>
    <row r="215" ht="12" customHeight="1" spans="1:16">
      <c r="A215" s="14"/>
      <c r="B215" s="15"/>
      <c r="C215" s="18">
        <v>25</v>
      </c>
      <c r="D215" s="16"/>
      <c r="E215" s="17">
        <v>13099.11</v>
      </c>
      <c r="F215" s="17"/>
      <c r="G215" s="17">
        <v>1161.02</v>
      </c>
      <c r="H215" s="16"/>
      <c r="I215" s="17">
        <v>12176.31</v>
      </c>
      <c r="J215" s="17"/>
      <c r="K215" s="17">
        <v>1161</v>
      </c>
      <c r="L215" s="43"/>
      <c r="M215" s="17">
        <f>(L214+L216)/2*25</f>
        <v>11042.375</v>
      </c>
      <c r="N215" s="17"/>
      <c r="O215" s="17">
        <f>(N214+N216)/2*25</f>
        <v>1161</v>
      </c>
      <c r="P215" s="19">
        <f>I215+K215-M215-O215</f>
        <v>1133.935</v>
      </c>
    </row>
    <row r="216" ht="12" customHeight="1" spans="1:16">
      <c r="A216" s="14">
        <v>104</v>
      </c>
      <c r="B216" s="15" t="s">
        <v>119</v>
      </c>
      <c r="C216" s="18"/>
      <c r="D216" s="16">
        <v>632.67</v>
      </c>
      <c r="E216" s="17"/>
      <c r="F216" s="17">
        <v>52.89</v>
      </c>
      <c r="G216" s="17"/>
      <c r="H216" s="16">
        <v>581.83</v>
      </c>
      <c r="I216" s="17"/>
      <c r="J216" s="17">
        <v>52.89</v>
      </c>
      <c r="K216" s="17"/>
      <c r="L216" s="43">
        <v>540.78</v>
      </c>
      <c r="M216" s="17"/>
      <c r="N216" s="17">
        <v>52.89</v>
      </c>
      <c r="O216" s="17"/>
      <c r="P216" s="19"/>
    </row>
    <row r="217" ht="12" customHeight="1" spans="1:16">
      <c r="A217" s="14"/>
      <c r="B217" s="15"/>
      <c r="C217" s="18">
        <v>25</v>
      </c>
      <c r="D217" s="16"/>
      <c r="E217" s="17">
        <v>18062.52</v>
      </c>
      <c r="F217" s="17"/>
      <c r="G217" s="17">
        <v>1465.26</v>
      </c>
      <c r="H217" s="16"/>
      <c r="I217" s="17">
        <v>16572.81</v>
      </c>
      <c r="J217" s="17"/>
      <c r="K217" s="17">
        <v>1465.25</v>
      </c>
      <c r="L217" s="43"/>
      <c r="M217" s="17">
        <f>(L216+L218)/2*25</f>
        <v>15218.25</v>
      </c>
      <c r="N217" s="17"/>
      <c r="O217" s="17">
        <f>(N216+N218)/2*25</f>
        <v>1465.25</v>
      </c>
      <c r="P217" s="19">
        <f>I217+K217-M217-O217</f>
        <v>1354.56</v>
      </c>
    </row>
    <row r="218" ht="12" customHeight="1" spans="1:16">
      <c r="A218" s="14">
        <v>105</v>
      </c>
      <c r="B218" s="15" t="s">
        <v>120</v>
      </c>
      <c r="C218" s="18"/>
      <c r="D218" s="16">
        <v>812.33</v>
      </c>
      <c r="E218" s="17"/>
      <c r="F218" s="17">
        <v>64.33</v>
      </c>
      <c r="G218" s="17"/>
      <c r="H218" s="16">
        <v>743.99</v>
      </c>
      <c r="I218" s="17"/>
      <c r="J218" s="17">
        <v>64.33</v>
      </c>
      <c r="K218" s="17"/>
      <c r="L218" s="43">
        <v>676.68</v>
      </c>
      <c r="M218" s="17"/>
      <c r="N218" s="17">
        <v>64.33</v>
      </c>
      <c r="O218" s="17"/>
      <c r="P218" s="19"/>
    </row>
    <row r="219" ht="12" customHeight="1" spans="1:16">
      <c r="A219" s="14"/>
      <c r="B219" s="15"/>
      <c r="C219" s="18">
        <v>25</v>
      </c>
      <c r="D219" s="16"/>
      <c r="E219" s="17">
        <v>19553.75</v>
      </c>
      <c r="F219" s="17"/>
      <c r="G219" s="17">
        <v>1428.55</v>
      </c>
      <c r="H219" s="16"/>
      <c r="I219" s="17">
        <v>17883.09</v>
      </c>
      <c r="J219" s="17"/>
      <c r="K219" s="17">
        <v>1428.5</v>
      </c>
      <c r="L219" s="43"/>
      <c r="M219" s="17">
        <f>(L218+L220)/2*25</f>
        <v>16325.75</v>
      </c>
      <c r="N219" s="17"/>
      <c r="O219" s="17">
        <f>(N218+N220)/2*25</f>
        <v>1428.5</v>
      </c>
      <c r="P219" s="19">
        <f>I219+K219-M219-O219</f>
        <v>1557.34</v>
      </c>
    </row>
    <row r="220" ht="12" customHeight="1" spans="1:16">
      <c r="A220" s="14">
        <v>106</v>
      </c>
      <c r="B220" s="15" t="s">
        <v>121</v>
      </c>
      <c r="C220" s="18"/>
      <c r="D220" s="16">
        <v>751.97</v>
      </c>
      <c r="E220" s="17"/>
      <c r="F220" s="17">
        <v>49.95</v>
      </c>
      <c r="G220" s="17"/>
      <c r="H220" s="16">
        <v>686.65</v>
      </c>
      <c r="I220" s="17"/>
      <c r="J220" s="17">
        <v>49.95</v>
      </c>
      <c r="K220" s="17"/>
      <c r="L220" s="43">
        <v>629.38</v>
      </c>
      <c r="M220" s="17"/>
      <c r="N220" s="17">
        <v>49.95</v>
      </c>
      <c r="O220" s="17"/>
      <c r="P220" s="19"/>
    </row>
    <row r="221" ht="12" customHeight="1" spans="1:16">
      <c r="A221" s="14"/>
      <c r="B221" s="15"/>
      <c r="C221" s="18">
        <v>25</v>
      </c>
      <c r="D221" s="16"/>
      <c r="E221" s="17">
        <v>18594.01</v>
      </c>
      <c r="F221" s="17"/>
      <c r="G221" s="17">
        <v>1201.29</v>
      </c>
      <c r="H221" s="16"/>
      <c r="I221" s="17">
        <v>17184.18</v>
      </c>
      <c r="J221" s="17"/>
      <c r="K221" s="17">
        <v>1201.25</v>
      </c>
      <c r="L221" s="43"/>
      <c r="M221" s="17">
        <f>(L220+L222)/2*25</f>
        <v>15534.125</v>
      </c>
      <c r="N221" s="17"/>
      <c r="O221" s="17">
        <f>(N220+N222)/2*25</f>
        <v>1201.25</v>
      </c>
      <c r="P221" s="19">
        <f>I221+K221-M221-O221</f>
        <v>1650.055</v>
      </c>
    </row>
    <row r="222" ht="12" customHeight="1" spans="1:16">
      <c r="A222" s="14">
        <v>107</v>
      </c>
      <c r="B222" s="15" t="s">
        <v>122</v>
      </c>
      <c r="C222" s="18"/>
      <c r="D222" s="16">
        <v>735.55</v>
      </c>
      <c r="E222" s="17"/>
      <c r="F222" s="17">
        <v>46.15</v>
      </c>
      <c r="G222" s="17"/>
      <c r="H222" s="16">
        <v>688.08</v>
      </c>
      <c r="I222" s="17"/>
      <c r="J222" s="17">
        <v>46.15</v>
      </c>
      <c r="K222" s="17"/>
      <c r="L222" s="43">
        <v>613.35</v>
      </c>
      <c r="M222" s="17"/>
      <c r="N222" s="17">
        <v>46.15</v>
      </c>
      <c r="O222" s="17"/>
      <c r="P222" s="19"/>
    </row>
    <row r="223" ht="12" customHeight="1" spans="1:16">
      <c r="A223" s="14"/>
      <c r="B223" s="15"/>
      <c r="C223" s="18">
        <v>25</v>
      </c>
      <c r="D223" s="16"/>
      <c r="E223" s="17">
        <v>18162.19</v>
      </c>
      <c r="F223" s="17"/>
      <c r="G223" s="17">
        <v>1111.04</v>
      </c>
      <c r="H223" s="16"/>
      <c r="I223" s="17">
        <v>16876.44</v>
      </c>
      <c r="J223" s="17"/>
      <c r="K223" s="17">
        <v>1111</v>
      </c>
      <c r="L223" s="43"/>
      <c r="M223" s="17">
        <f>(L222+L224)/2*25</f>
        <v>15235</v>
      </c>
      <c r="N223" s="17"/>
      <c r="O223" s="17">
        <f>(N222+N224)/2*25</f>
        <v>1111</v>
      </c>
      <c r="P223" s="19">
        <f>I223+K223-M223-O223</f>
        <v>1641.44</v>
      </c>
    </row>
    <row r="224" ht="12" customHeight="1" spans="1:16">
      <c r="A224" s="14">
        <v>108</v>
      </c>
      <c r="B224" s="15" t="s">
        <v>123</v>
      </c>
      <c r="C224" s="18"/>
      <c r="D224" s="16">
        <v>717.42</v>
      </c>
      <c r="E224" s="17"/>
      <c r="F224" s="17">
        <v>42.73</v>
      </c>
      <c r="G224" s="17"/>
      <c r="H224" s="16">
        <v>662.04</v>
      </c>
      <c r="I224" s="17"/>
      <c r="J224" s="17">
        <v>42.73</v>
      </c>
      <c r="K224" s="17"/>
      <c r="L224" s="43">
        <v>605.45</v>
      </c>
      <c r="M224" s="17"/>
      <c r="N224" s="17">
        <v>42.73</v>
      </c>
      <c r="O224" s="17"/>
      <c r="P224" s="19"/>
    </row>
    <row r="225" ht="12" customHeight="1" spans="1:16">
      <c r="A225" s="14"/>
      <c r="B225" s="15"/>
      <c r="C225" s="18">
        <v>25</v>
      </c>
      <c r="D225" s="16"/>
      <c r="E225" s="17">
        <v>18198.73</v>
      </c>
      <c r="F225" s="17"/>
      <c r="G225" s="17">
        <v>1061.72</v>
      </c>
      <c r="H225" s="16"/>
      <c r="I225" s="17">
        <v>16852.78</v>
      </c>
      <c r="J225" s="17"/>
      <c r="K225" s="17">
        <v>1061.63</v>
      </c>
      <c r="L225" s="43"/>
      <c r="M225" s="17">
        <f>(L224+L226)/2*25</f>
        <v>15220.375</v>
      </c>
      <c r="N225" s="17"/>
      <c r="O225" s="17">
        <f>(N224+N226)/2*25</f>
        <v>1061.625</v>
      </c>
      <c r="P225" s="19">
        <f>I225+K225-M225-O225</f>
        <v>1632.41</v>
      </c>
    </row>
    <row r="226" ht="12" customHeight="1" spans="1:16">
      <c r="A226" s="14">
        <v>109</v>
      </c>
      <c r="B226" s="15" t="s">
        <v>124</v>
      </c>
      <c r="C226" s="18"/>
      <c r="D226" s="16">
        <v>738.48</v>
      </c>
      <c r="E226" s="17"/>
      <c r="F226" s="17">
        <v>42.2</v>
      </c>
      <c r="G226" s="17"/>
      <c r="H226" s="16">
        <v>686.19</v>
      </c>
      <c r="I226" s="17"/>
      <c r="J226" s="17">
        <v>42.2</v>
      </c>
      <c r="K226" s="17"/>
      <c r="L226" s="43">
        <v>612.18</v>
      </c>
      <c r="M226" s="17"/>
      <c r="N226" s="17">
        <v>42.2</v>
      </c>
      <c r="O226" s="17"/>
      <c r="P226" s="19"/>
    </row>
    <row r="227" ht="12" customHeight="1" spans="1:16">
      <c r="A227" s="14"/>
      <c r="B227" s="15"/>
      <c r="C227" s="18">
        <v>25</v>
      </c>
      <c r="D227" s="16"/>
      <c r="E227" s="17">
        <v>19039.68</v>
      </c>
      <c r="F227" s="17"/>
      <c r="G227" s="17">
        <v>1062.68</v>
      </c>
      <c r="H227" s="16"/>
      <c r="I227" s="17">
        <v>17670.56</v>
      </c>
      <c r="J227" s="17"/>
      <c r="K227" s="17">
        <v>1062.63</v>
      </c>
      <c r="L227" s="43"/>
      <c r="M227" s="17">
        <f>(L226+L228)/2*25</f>
        <v>15774</v>
      </c>
      <c r="N227" s="17"/>
      <c r="O227" s="17">
        <f>(N226+N228)/2*25</f>
        <v>1062.625</v>
      </c>
      <c r="P227" s="19">
        <f>I227+K227-M227-O227</f>
        <v>1896.565</v>
      </c>
    </row>
    <row r="228" ht="12" customHeight="1" spans="1:16">
      <c r="A228" s="14">
        <v>110</v>
      </c>
      <c r="B228" s="15" t="s">
        <v>125</v>
      </c>
      <c r="C228" s="18"/>
      <c r="D228" s="16">
        <v>784.7</v>
      </c>
      <c r="E228" s="17"/>
      <c r="F228" s="17">
        <v>42.81</v>
      </c>
      <c r="G228" s="17"/>
      <c r="H228" s="16">
        <v>727.46</v>
      </c>
      <c r="I228" s="17"/>
      <c r="J228" s="17">
        <v>42.81</v>
      </c>
      <c r="K228" s="17"/>
      <c r="L228" s="43">
        <v>649.74</v>
      </c>
      <c r="M228" s="17"/>
      <c r="N228" s="17">
        <v>42.81</v>
      </c>
      <c r="O228" s="17"/>
      <c r="P228" s="19"/>
    </row>
    <row r="229" ht="12" customHeight="1" spans="1:16">
      <c r="A229" s="14"/>
      <c r="B229" s="15"/>
      <c r="C229" s="18">
        <v>25</v>
      </c>
      <c r="D229" s="16"/>
      <c r="E229" s="17">
        <v>20840.04</v>
      </c>
      <c r="F229" s="17"/>
      <c r="G229" s="17">
        <v>1290.57</v>
      </c>
      <c r="H229" s="16"/>
      <c r="I229" s="17">
        <v>19422.46</v>
      </c>
      <c r="J229" s="17"/>
      <c r="K229" s="17">
        <v>1290.5</v>
      </c>
      <c r="L229" s="43"/>
      <c r="M229" s="17">
        <f>(L228+L230)/2*25</f>
        <v>17630.875</v>
      </c>
      <c r="N229" s="17"/>
      <c r="O229" s="17">
        <f>(N228+N230)/2*25</f>
        <v>1290.5</v>
      </c>
      <c r="P229" s="19">
        <f>I229+K229-M229-O229</f>
        <v>1791.585</v>
      </c>
    </row>
    <row r="230" ht="12" customHeight="1" spans="1:16">
      <c r="A230" s="14">
        <v>111</v>
      </c>
      <c r="B230" s="15" t="s">
        <v>126</v>
      </c>
      <c r="C230" s="18"/>
      <c r="D230" s="16">
        <v>882.5</v>
      </c>
      <c r="E230" s="17"/>
      <c r="F230" s="17">
        <v>60.43</v>
      </c>
      <c r="G230" s="17"/>
      <c r="H230" s="16">
        <v>826.34</v>
      </c>
      <c r="I230" s="17"/>
      <c r="J230" s="17">
        <v>60.43</v>
      </c>
      <c r="K230" s="17"/>
      <c r="L230" s="43">
        <v>760.73</v>
      </c>
      <c r="M230" s="17"/>
      <c r="N230" s="17">
        <v>60.43</v>
      </c>
      <c r="O230" s="17"/>
      <c r="P230" s="19"/>
    </row>
    <row r="231" ht="12" customHeight="1" spans="1:16">
      <c r="A231" s="14"/>
      <c r="B231" s="15"/>
      <c r="C231" s="18">
        <v>25</v>
      </c>
      <c r="D231" s="16"/>
      <c r="E231" s="17">
        <v>21118.15</v>
      </c>
      <c r="F231" s="17"/>
      <c r="G231" s="17">
        <v>1452.63</v>
      </c>
      <c r="H231" s="16"/>
      <c r="I231" s="17">
        <v>19676.05</v>
      </c>
      <c r="J231" s="17"/>
      <c r="K231" s="17">
        <v>1452.63</v>
      </c>
      <c r="L231" s="43"/>
      <c r="M231" s="17">
        <f>(L230+L232)/2*25</f>
        <v>18238.5</v>
      </c>
      <c r="N231" s="17"/>
      <c r="O231" s="17">
        <f>(N230+N232)/2*25</f>
        <v>1452.625</v>
      </c>
      <c r="P231" s="19">
        <f>I231+K231-M231-O231</f>
        <v>1437.555</v>
      </c>
    </row>
    <row r="232" ht="12" customHeight="1" spans="1:16">
      <c r="A232" s="14">
        <v>112</v>
      </c>
      <c r="B232" s="15" t="s">
        <v>127</v>
      </c>
      <c r="C232" s="18"/>
      <c r="D232" s="16">
        <v>806.95</v>
      </c>
      <c r="E232" s="17"/>
      <c r="F232" s="17">
        <v>55.78</v>
      </c>
      <c r="G232" s="17"/>
      <c r="H232" s="16">
        <v>747.74</v>
      </c>
      <c r="I232" s="17"/>
      <c r="J232" s="17">
        <v>55.78</v>
      </c>
      <c r="K232" s="17"/>
      <c r="L232" s="43">
        <v>698.35</v>
      </c>
      <c r="M232" s="17"/>
      <c r="N232" s="17">
        <v>55.78</v>
      </c>
      <c r="O232" s="17"/>
      <c r="P232" s="19"/>
    </row>
    <row r="233" ht="12" customHeight="1" spans="1:16">
      <c r="A233" s="14"/>
      <c r="B233" s="15"/>
      <c r="C233" s="18">
        <v>25</v>
      </c>
      <c r="D233" s="16"/>
      <c r="E233" s="17">
        <v>17873.87</v>
      </c>
      <c r="F233" s="17"/>
      <c r="G233" s="17">
        <v>1032.98</v>
      </c>
      <c r="H233" s="16"/>
      <c r="I233" s="17">
        <v>16329.61</v>
      </c>
      <c r="J233" s="17"/>
      <c r="K233" s="17">
        <v>1033</v>
      </c>
      <c r="L233" s="43"/>
      <c r="M233" s="17">
        <f>(L232+L234)/2*25</f>
        <v>15137.875</v>
      </c>
      <c r="N233" s="17"/>
      <c r="O233" s="17">
        <f>(N232+N234)/2*25</f>
        <v>1033</v>
      </c>
      <c r="P233" s="19">
        <f>I233+K233-M233-O233</f>
        <v>1191.735</v>
      </c>
    </row>
    <row r="234" ht="12" customHeight="1" spans="1:16">
      <c r="A234" s="14">
        <v>113</v>
      </c>
      <c r="B234" s="15" t="s">
        <v>128</v>
      </c>
      <c r="C234" s="18"/>
      <c r="D234" s="16">
        <v>622.96</v>
      </c>
      <c r="E234" s="17"/>
      <c r="F234" s="17">
        <v>26.86</v>
      </c>
      <c r="G234" s="17"/>
      <c r="H234" s="16">
        <v>558.62</v>
      </c>
      <c r="I234" s="17"/>
      <c r="J234" s="17">
        <v>26.86</v>
      </c>
      <c r="K234" s="17"/>
      <c r="L234" s="43">
        <v>512.68</v>
      </c>
      <c r="M234" s="17"/>
      <c r="N234" s="17">
        <v>26.86</v>
      </c>
      <c r="O234" s="17"/>
      <c r="P234" s="19"/>
    </row>
    <row r="235" ht="12" customHeight="1" spans="1:16">
      <c r="A235" s="14"/>
      <c r="B235" s="15"/>
      <c r="C235" s="18">
        <v>25</v>
      </c>
      <c r="D235" s="16"/>
      <c r="E235" s="17">
        <v>15041.6</v>
      </c>
      <c r="F235" s="17"/>
      <c r="G235" s="17">
        <v>667.46</v>
      </c>
      <c r="H235" s="16"/>
      <c r="I235" s="17">
        <v>13473.52</v>
      </c>
      <c r="J235" s="17"/>
      <c r="K235" s="17">
        <v>667.38</v>
      </c>
      <c r="L235" s="43"/>
      <c r="M235" s="17">
        <f>(L234+L236)/2*25</f>
        <v>12055</v>
      </c>
      <c r="N235" s="17"/>
      <c r="O235" s="17">
        <f>(N234+N236)/2*25</f>
        <v>667.375</v>
      </c>
      <c r="P235" s="19">
        <f>I235+K235-M235-O235</f>
        <v>1418.525</v>
      </c>
    </row>
    <row r="236" ht="12" customHeight="1" spans="1:16">
      <c r="A236" s="14">
        <v>114</v>
      </c>
      <c r="B236" s="15" t="s">
        <v>129</v>
      </c>
      <c r="C236" s="18"/>
      <c r="D236" s="16">
        <v>580.37</v>
      </c>
      <c r="E236" s="17"/>
      <c r="F236" s="17">
        <v>26.53</v>
      </c>
      <c r="G236" s="17"/>
      <c r="H236" s="16">
        <v>519.26</v>
      </c>
      <c r="I236" s="17"/>
      <c r="J236" s="17">
        <v>26.53</v>
      </c>
      <c r="K236" s="17"/>
      <c r="L236" s="43">
        <v>451.72</v>
      </c>
      <c r="M236" s="17"/>
      <c r="N236" s="17">
        <v>26.53</v>
      </c>
      <c r="O236" s="17"/>
      <c r="P236" s="19"/>
    </row>
    <row r="237" ht="12" customHeight="1" spans="1:16">
      <c r="A237" s="14"/>
      <c r="B237" s="15"/>
      <c r="C237" s="18">
        <v>25</v>
      </c>
      <c r="D237" s="16"/>
      <c r="E237" s="17">
        <v>14231.03</v>
      </c>
      <c r="F237" s="17"/>
      <c r="G237" s="17">
        <v>675.94</v>
      </c>
      <c r="H237" s="16"/>
      <c r="I237" s="17">
        <v>12700.32</v>
      </c>
      <c r="J237" s="17"/>
      <c r="K237" s="17">
        <v>675.88</v>
      </c>
      <c r="L237" s="43"/>
      <c r="M237" s="17">
        <f>(L236+L238)/2*25</f>
        <v>11181.375</v>
      </c>
      <c r="N237" s="17"/>
      <c r="O237" s="17">
        <f>(N236+N238)/2*25</f>
        <v>675.875</v>
      </c>
      <c r="P237" s="19">
        <f>I237+K237-M237-O237</f>
        <v>1518.95</v>
      </c>
    </row>
    <row r="238" ht="12" customHeight="1" spans="1:16">
      <c r="A238" s="14">
        <v>115</v>
      </c>
      <c r="B238" s="15" t="s">
        <v>130</v>
      </c>
      <c r="C238" s="18"/>
      <c r="D238" s="16">
        <v>558.12</v>
      </c>
      <c r="E238" s="17"/>
      <c r="F238" s="17">
        <v>27.54</v>
      </c>
      <c r="G238" s="17"/>
      <c r="H238" s="16">
        <v>496.77</v>
      </c>
      <c r="I238" s="17"/>
      <c r="J238" s="17">
        <v>27.54</v>
      </c>
      <c r="K238" s="17"/>
      <c r="L238" s="43">
        <v>442.79</v>
      </c>
      <c r="M238" s="17"/>
      <c r="N238" s="17">
        <v>27.54</v>
      </c>
      <c r="O238" s="17"/>
      <c r="P238" s="19"/>
    </row>
    <row r="239" ht="12" customHeight="1" spans="1:16">
      <c r="A239" s="14"/>
      <c r="B239" s="15"/>
      <c r="C239" s="18">
        <v>25</v>
      </c>
      <c r="D239" s="16"/>
      <c r="E239" s="17">
        <v>13592.18</v>
      </c>
      <c r="F239" s="17"/>
      <c r="G239" s="17">
        <v>691.77</v>
      </c>
      <c r="H239" s="16"/>
      <c r="I239" s="17">
        <v>11983.92</v>
      </c>
      <c r="J239" s="17"/>
      <c r="K239" s="17">
        <v>691.75</v>
      </c>
      <c r="L239" s="43"/>
      <c r="M239" s="17">
        <f>(L238+L240)/2*25</f>
        <v>10654.125</v>
      </c>
      <c r="N239" s="17"/>
      <c r="O239" s="17">
        <f>(N238+N240)/2*25</f>
        <v>691.75</v>
      </c>
      <c r="P239" s="19">
        <f>I239+K239-M239-O239</f>
        <v>1329.795</v>
      </c>
    </row>
    <row r="240" ht="12" customHeight="1" spans="1:16">
      <c r="A240" s="14">
        <v>116</v>
      </c>
      <c r="B240" s="15" t="s">
        <v>131</v>
      </c>
      <c r="C240" s="18"/>
      <c r="D240" s="16">
        <v>529.26</v>
      </c>
      <c r="E240" s="17"/>
      <c r="F240" s="17">
        <v>27.8</v>
      </c>
      <c r="G240" s="17"/>
      <c r="H240" s="16">
        <v>461.95</v>
      </c>
      <c r="I240" s="17"/>
      <c r="J240" s="17">
        <v>27.8</v>
      </c>
      <c r="K240" s="17"/>
      <c r="L240" s="43">
        <v>409.54</v>
      </c>
      <c r="M240" s="17"/>
      <c r="N240" s="17">
        <v>27.8</v>
      </c>
      <c r="O240" s="17"/>
      <c r="P240" s="19"/>
    </row>
    <row r="241" ht="12" customHeight="1" spans="1:16">
      <c r="A241" s="14"/>
      <c r="B241" s="15"/>
      <c r="C241" s="18">
        <v>25</v>
      </c>
      <c r="D241" s="16"/>
      <c r="E241" s="17">
        <v>13794.2</v>
      </c>
      <c r="F241" s="17"/>
      <c r="G241" s="17">
        <v>711.74</v>
      </c>
      <c r="H241" s="16"/>
      <c r="I241" s="17">
        <v>12177.56</v>
      </c>
      <c r="J241" s="17"/>
      <c r="K241" s="17">
        <v>711.75</v>
      </c>
      <c r="L241" s="43"/>
      <c r="M241" s="17">
        <f>(L240+L242)/2*25</f>
        <v>10930.875</v>
      </c>
      <c r="N241" s="17"/>
      <c r="O241" s="17">
        <f>(N240+N242)/2*25</f>
        <v>711.75</v>
      </c>
      <c r="P241" s="19">
        <f>I241+K241-M241-O241</f>
        <v>1246.685</v>
      </c>
    </row>
    <row r="242" ht="12" customHeight="1" spans="1:16">
      <c r="A242" s="14">
        <v>117</v>
      </c>
      <c r="B242" s="15" t="s">
        <v>132</v>
      </c>
      <c r="C242" s="18"/>
      <c r="D242" s="16">
        <v>574.28</v>
      </c>
      <c r="E242" s="17"/>
      <c r="F242" s="17">
        <v>29.14</v>
      </c>
      <c r="G242" s="17"/>
      <c r="H242" s="16">
        <v>512.26</v>
      </c>
      <c r="I242" s="17"/>
      <c r="J242" s="17">
        <v>29.14</v>
      </c>
      <c r="K242" s="17"/>
      <c r="L242" s="43">
        <v>464.93</v>
      </c>
      <c r="M242" s="17"/>
      <c r="N242" s="17">
        <v>29.14</v>
      </c>
      <c r="O242" s="17"/>
      <c r="P242" s="19"/>
    </row>
    <row r="243" ht="12" customHeight="1" spans="1:16">
      <c r="A243" s="14"/>
      <c r="B243" s="15"/>
      <c r="C243" s="18">
        <v>25</v>
      </c>
      <c r="D243" s="16"/>
      <c r="E243" s="17">
        <v>13807.54</v>
      </c>
      <c r="F243" s="17"/>
      <c r="G243" s="17">
        <v>636.48</v>
      </c>
      <c r="H243" s="16"/>
      <c r="I243" s="17">
        <v>12281.49</v>
      </c>
      <c r="J243" s="17"/>
      <c r="K243" s="17">
        <v>636.5</v>
      </c>
      <c r="L243" s="43"/>
      <c r="M243" s="17">
        <f>(L242+L244)/2*25</f>
        <v>11111.25</v>
      </c>
      <c r="N243" s="17"/>
      <c r="O243" s="17">
        <f>(N242+N244)/2*25</f>
        <v>636.5</v>
      </c>
      <c r="P243" s="19">
        <f>I243+K243-M243-O243</f>
        <v>1170.24</v>
      </c>
    </row>
    <row r="244" ht="12" customHeight="1" spans="1:16">
      <c r="A244" s="14">
        <v>118</v>
      </c>
      <c r="B244" s="15" t="s">
        <v>133</v>
      </c>
      <c r="C244" s="18"/>
      <c r="D244" s="16">
        <v>530.32</v>
      </c>
      <c r="E244" s="17"/>
      <c r="F244" s="17">
        <v>21.78</v>
      </c>
      <c r="G244" s="17"/>
      <c r="H244" s="16">
        <v>470.26</v>
      </c>
      <c r="I244" s="17"/>
      <c r="J244" s="17">
        <v>21.78</v>
      </c>
      <c r="K244" s="17"/>
      <c r="L244" s="43">
        <v>423.97</v>
      </c>
      <c r="M244" s="17"/>
      <c r="N244" s="17">
        <v>21.78</v>
      </c>
      <c r="O244" s="17"/>
      <c r="P244" s="19"/>
    </row>
    <row r="245" ht="12" customHeight="1" spans="1:16">
      <c r="A245" s="14"/>
      <c r="B245" s="15"/>
      <c r="C245" s="18">
        <v>25</v>
      </c>
      <c r="D245" s="16"/>
      <c r="E245" s="17">
        <v>11908.71</v>
      </c>
      <c r="F245" s="17"/>
      <c r="G245" s="17">
        <v>465.4</v>
      </c>
      <c r="H245" s="16"/>
      <c r="I245" s="17">
        <v>10550.23</v>
      </c>
      <c r="J245" s="17"/>
      <c r="K245" s="17">
        <v>465.38</v>
      </c>
      <c r="L245" s="43"/>
      <c r="M245" s="17">
        <f>(L244+L246)/2*25</f>
        <v>9433.125</v>
      </c>
      <c r="N245" s="17"/>
      <c r="O245" s="17">
        <f>(N244+N246)/2*25</f>
        <v>465.375</v>
      </c>
      <c r="P245" s="19">
        <f>I245+K245-M245-O245</f>
        <v>1117.11</v>
      </c>
    </row>
    <row r="246" ht="12" customHeight="1" spans="1:16">
      <c r="A246" s="14">
        <v>119</v>
      </c>
      <c r="B246" s="15" t="s">
        <v>134</v>
      </c>
      <c r="C246" s="18"/>
      <c r="D246" s="16">
        <v>422.37</v>
      </c>
      <c r="E246" s="17"/>
      <c r="F246" s="17">
        <v>15.45</v>
      </c>
      <c r="G246" s="17"/>
      <c r="H246" s="16">
        <v>373.76</v>
      </c>
      <c r="I246" s="17"/>
      <c r="J246" s="17">
        <v>15.45</v>
      </c>
      <c r="K246" s="17"/>
      <c r="L246" s="43">
        <v>330.68</v>
      </c>
      <c r="M246" s="17"/>
      <c r="N246" s="17">
        <v>15.45</v>
      </c>
      <c r="O246" s="17"/>
      <c r="P246" s="19"/>
    </row>
    <row r="247" ht="12" customHeight="1" spans="1:16">
      <c r="A247" s="14"/>
      <c r="B247" s="15"/>
      <c r="C247" s="18">
        <v>25</v>
      </c>
      <c r="D247" s="16"/>
      <c r="E247" s="17">
        <v>10933.67</v>
      </c>
      <c r="F247" s="17"/>
      <c r="G247" s="17">
        <v>307.96</v>
      </c>
      <c r="H247" s="16"/>
      <c r="I247" s="17">
        <v>9644.07</v>
      </c>
      <c r="J247" s="17"/>
      <c r="K247" s="17">
        <v>307.88</v>
      </c>
      <c r="L247" s="43"/>
      <c r="M247" s="17">
        <f>(L246+L248)/2*25</f>
        <v>8538.375</v>
      </c>
      <c r="N247" s="17"/>
      <c r="O247" s="17">
        <f>(N246+N248)/2*25</f>
        <v>307.875</v>
      </c>
      <c r="P247" s="19">
        <f>I247+K247-M247-O247</f>
        <v>1105.7</v>
      </c>
    </row>
    <row r="248" ht="12" customHeight="1" spans="1:16">
      <c r="A248" s="14">
        <v>120</v>
      </c>
      <c r="B248" s="15" t="s">
        <v>135</v>
      </c>
      <c r="C248" s="18"/>
      <c r="D248" s="16">
        <v>452.32</v>
      </c>
      <c r="E248" s="17"/>
      <c r="F248" s="17">
        <v>9.18</v>
      </c>
      <c r="G248" s="17"/>
      <c r="H248" s="16">
        <v>397.77</v>
      </c>
      <c r="I248" s="17"/>
      <c r="J248" s="17">
        <v>9.18</v>
      </c>
      <c r="K248" s="17"/>
      <c r="L248" s="43">
        <v>352.39</v>
      </c>
      <c r="M248" s="17"/>
      <c r="N248" s="17">
        <v>9.18</v>
      </c>
      <c r="O248" s="17"/>
      <c r="P248" s="19"/>
    </row>
    <row r="249" ht="12" customHeight="1" spans="1:16">
      <c r="A249" s="14"/>
      <c r="B249" s="15"/>
      <c r="C249" s="18">
        <v>25</v>
      </c>
      <c r="D249" s="16"/>
      <c r="E249" s="17">
        <v>10228.63</v>
      </c>
      <c r="F249" s="17"/>
      <c r="G249" s="17">
        <v>170.68</v>
      </c>
      <c r="H249" s="16"/>
      <c r="I249" s="17">
        <v>9121.17</v>
      </c>
      <c r="J249" s="17"/>
      <c r="K249" s="17">
        <v>170.63</v>
      </c>
      <c r="L249" s="43"/>
      <c r="M249" s="17">
        <f>(L248+L250)/2*25</f>
        <v>8037.375</v>
      </c>
      <c r="N249" s="17"/>
      <c r="O249" s="17">
        <f>(N248+N250)/2*25</f>
        <v>170.625</v>
      </c>
      <c r="P249" s="19">
        <f>I249+K249-M249-O249</f>
        <v>1083.8</v>
      </c>
    </row>
    <row r="250" ht="12" customHeight="1" spans="1:16">
      <c r="A250" s="14">
        <v>121</v>
      </c>
      <c r="B250" s="15" t="s">
        <v>136</v>
      </c>
      <c r="C250" s="18"/>
      <c r="D250" s="16">
        <v>365.97</v>
      </c>
      <c r="E250" s="17"/>
      <c r="F250" s="17">
        <v>4.47</v>
      </c>
      <c r="G250" s="17"/>
      <c r="H250" s="16">
        <v>331.93</v>
      </c>
      <c r="I250" s="17"/>
      <c r="J250" s="17">
        <v>4.47</v>
      </c>
      <c r="K250" s="17"/>
      <c r="L250" s="43">
        <v>290.6</v>
      </c>
      <c r="M250" s="17"/>
      <c r="N250" s="17">
        <v>4.47</v>
      </c>
      <c r="O250" s="17"/>
      <c r="P250" s="19"/>
    </row>
    <row r="251" ht="12" customHeight="1" spans="1:16">
      <c r="A251" s="14"/>
      <c r="B251" s="15"/>
      <c r="C251" s="18">
        <v>25</v>
      </c>
      <c r="D251" s="16"/>
      <c r="E251" s="17">
        <v>9674.38</v>
      </c>
      <c r="F251" s="17"/>
      <c r="G251" s="17">
        <v>55.88</v>
      </c>
      <c r="H251" s="16"/>
      <c r="I251" s="17">
        <v>8682.77</v>
      </c>
      <c r="J251" s="17"/>
      <c r="K251" s="17">
        <v>55.88</v>
      </c>
      <c r="L251" s="43"/>
      <c r="M251" s="17">
        <f>(L250+L252)/2*25</f>
        <v>7542.375</v>
      </c>
      <c r="N251" s="17"/>
      <c r="O251" s="17">
        <f>(N250+N252)/2*25</f>
        <v>55.875</v>
      </c>
      <c r="P251" s="19">
        <f>I251+K251-M251-O251</f>
        <v>1140.4</v>
      </c>
    </row>
    <row r="252" ht="12" customHeight="1" spans="1:16">
      <c r="A252" s="14">
        <v>122</v>
      </c>
      <c r="B252" s="15" t="s">
        <v>137</v>
      </c>
      <c r="C252" s="18"/>
      <c r="D252" s="16">
        <v>407.98</v>
      </c>
      <c r="E252" s="17"/>
      <c r="F252" s="17">
        <v>0</v>
      </c>
      <c r="G252" s="17"/>
      <c r="H252" s="16">
        <v>362.7</v>
      </c>
      <c r="I252" s="17"/>
      <c r="J252" s="17">
        <v>0</v>
      </c>
      <c r="K252" s="17"/>
      <c r="L252" s="43">
        <v>312.79</v>
      </c>
      <c r="M252" s="17"/>
      <c r="N252" s="17">
        <v>0</v>
      </c>
      <c r="O252" s="17"/>
      <c r="P252" s="19"/>
    </row>
    <row r="253" ht="12" customHeight="1" spans="1:16">
      <c r="A253" s="14"/>
      <c r="B253" s="15"/>
      <c r="C253" s="18">
        <v>25</v>
      </c>
      <c r="D253" s="16"/>
      <c r="E253" s="17">
        <v>9880</v>
      </c>
      <c r="F253" s="17"/>
      <c r="G253" s="17">
        <v>0</v>
      </c>
      <c r="H253" s="16"/>
      <c r="I253" s="17">
        <v>8619.48</v>
      </c>
      <c r="J253" s="17"/>
      <c r="K253" s="17">
        <v>0</v>
      </c>
      <c r="L253" s="43"/>
      <c r="M253" s="17">
        <f>(L252+L254)/2*25</f>
        <v>7361.875</v>
      </c>
      <c r="N253" s="17"/>
      <c r="O253" s="17">
        <f>(N252+N254)/2*25</f>
        <v>0</v>
      </c>
      <c r="P253" s="19">
        <f>I253+K253-M253-O253</f>
        <v>1257.605</v>
      </c>
    </row>
    <row r="254" ht="12" customHeight="1" spans="1:16">
      <c r="A254" s="14">
        <v>123</v>
      </c>
      <c r="B254" s="15" t="s">
        <v>138</v>
      </c>
      <c r="C254" s="18"/>
      <c r="D254" s="16">
        <v>382.42</v>
      </c>
      <c r="E254" s="17"/>
      <c r="F254" s="17">
        <v>0</v>
      </c>
      <c r="G254" s="17"/>
      <c r="H254" s="16">
        <v>326.86</v>
      </c>
      <c r="I254" s="17"/>
      <c r="J254" s="17">
        <v>0</v>
      </c>
      <c r="K254" s="17"/>
      <c r="L254" s="43">
        <v>276.16</v>
      </c>
      <c r="M254" s="17"/>
      <c r="N254" s="17">
        <v>0</v>
      </c>
      <c r="O254" s="17"/>
      <c r="P254" s="19"/>
    </row>
    <row r="255" ht="12" customHeight="1" spans="1:16">
      <c r="A255" s="14"/>
      <c r="B255" s="15"/>
      <c r="C255" s="18">
        <v>25</v>
      </c>
      <c r="D255" s="16"/>
      <c r="E255" s="17">
        <v>10279.5</v>
      </c>
      <c r="F255" s="17"/>
      <c r="G255" s="17">
        <v>153.5</v>
      </c>
      <c r="H255" s="16"/>
      <c r="I255" s="17">
        <v>9020.44</v>
      </c>
      <c r="J255" s="17"/>
      <c r="K255" s="17">
        <v>153.5</v>
      </c>
      <c r="L255" s="43"/>
      <c r="M255" s="17">
        <f>(L254+L256)/2*25</f>
        <v>7791.375</v>
      </c>
      <c r="N255" s="17"/>
      <c r="O255" s="17">
        <f>(N254+N256)/2*25</f>
        <v>153.5</v>
      </c>
      <c r="P255" s="19">
        <f>I255+K255-M255-O255</f>
        <v>1229.065</v>
      </c>
    </row>
    <row r="256" ht="12" customHeight="1" spans="1:16">
      <c r="A256" s="14">
        <v>124</v>
      </c>
      <c r="B256" s="15" t="s">
        <v>139</v>
      </c>
      <c r="C256" s="18"/>
      <c r="D256" s="16">
        <v>439.94</v>
      </c>
      <c r="E256" s="17"/>
      <c r="F256" s="17">
        <v>12.28</v>
      </c>
      <c r="G256" s="17"/>
      <c r="H256" s="16">
        <v>394.77</v>
      </c>
      <c r="I256" s="17"/>
      <c r="J256" s="17">
        <v>12.28</v>
      </c>
      <c r="K256" s="17"/>
      <c r="L256" s="43">
        <v>347.15</v>
      </c>
      <c r="M256" s="17"/>
      <c r="N256" s="17">
        <v>12.28</v>
      </c>
      <c r="O256" s="17"/>
      <c r="P256" s="19"/>
    </row>
    <row r="257" ht="12" customHeight="1" spans="1:16">
      <c r="A257" s="14"/>
      <c r="B257" s="15"/>
      <c r="C257" s="18">
        <v>25</v>
      </c>
      <c r="D257" s="16"/>
      <c r="E257" s="17">
        <v>11452.13</v>
      </c>
      <c r="F257" s="17"/>
      <c r="G257" s="17">
        <v>350.25</v>
      </c>
      <c r="H257" s="16"/>
      <c r="I257" s="17">
        <v>10188.15</v>
      </c>
      <c r="J257" s="17"/>
      <c r="K257" s="17">
        <v>350.25</v>
      </c>
      <c r="L257" s="43"/>
      <c r="M257" s="17">
        <f>(L256+L258)/2*25</f>
        <v>9020.75</v>
      </c>
      <c r="N257" s="17"/>
      <c r="O257" s="17">
        <f>(N256+N258)/2*25</f>
        <v>350.25</v>
      </c>
      <c r="P257" s="19">
        <f>I257+K257-M257-O257</f>
        <v>1167.4</v>
      </c>
    </row>
    <row r="258" ht="12" customHeight="1" spans="1:16">
      <c r="A258" s="14">
        <v>125</v>
      </c>
      <c r="B258" s="15" t="s">
        <v>140</v>
      </c>
      <c r="C258" s="18"/>
      <c r="D258" s="16">
        <v>476.23</v>
      </c>
      <c r="E258" s="17"/>
      <c r="F258" s="17">
        <v>15.74</v>
      </c>
      <c r="G258" s="17"/>
      <c r="H258" s="16">
        <v>420.28</v>
      </c>
      <c r="I258" s="17"/>
      <c r="J258" s="17">
        <v>15.74</v>
      </c>
      <c r="K258" s="17"/>
      <c r="L258" s="43">
        <v>374.51</v>
      </c>
      <c r="M258" s="17"/>
      <c r="N258" s="17">
        <v>15.74</v>
      </c>
      <c r="O258" s="17"/>
      <c r="P258" s="19"/>
    </row>
    <row r="259" ht="12" customHeight="1" spans="1:16">
      <c r="A259" s="14"/>
      <c r="B259" s="15"/>
      <c r="C259" s="18">
        <v>25</v>
      </c>
      <c r="D259" s="16"/>
      <c r="E259" s="17">
        <v>12193.25</v>
      </c>
      <c r="F259" s="17"/>
      <c r="G259" s="17">
        <v>449.75</v>
      </c>
      <c r="H259" s="16"/>
      <c r="I259" s="17">
        <v>10750.69</v>
      </c>
      <c r="J259" s="17"/>
      <c r="K259" s="17">
        <v>449.75</v>
      </c>
      <c r="L259" s="43"/>
      <c r="M259" s="17">
        <f>(L258+L260)/2*25</f>
        <v>9395.25</v>
      </c>
      <c r="N259" s="17"/>
      <c r="O259" s="17">
        <f>(N258+N260)/2*25</f>
        <v>449.75</v>
      </c>
      <c r="P259" s="19">
        <f>I259+K259-M259-O259</f>
        <v>1355.44</v>
      </c>
    </row>
    <row r="260" ht="12" customHeight="1" spans="1:16">
      <c r="A260" s="14">
        <v>126</v>
      </c>
      <c r="B260" s="15" t="s">
        <v>141</v>
      </c>
      <c r="C260" s="18"/>
      <c r="D260" s="16">
        <v>499.23</v>
      </c>
      <c r="E260" s="17"/>
      <c r="F260" s="17">
        <v>20.24</v>
      </c>
      <c r="G260" s="17"/>
      <c r="H260" s="16">
        <v>439.78</v>
      </c>
      <c r="I260" s="17"/>
      <c r="J260" s="17">
        <v>20.24</v>
      </c>
      <c r="K260" s="17"/>
      <c r="L260" s="43">
        <v>377.11</v>
      </c>
      <c r="M260" s="17"/>
      <c r="N260" s="17">
        <v>20.24</v>
      </c>
      <c r="O260" s="17"/>
      <c r="P260" s="19"/>
    </row>
    <row r="261" ht="12" customHeight="1" spans="1:16">
      <c r="A261" s="14"/>
      <c r="B261" s="15"/>
      <c r="C261" s="18">
        <v>25</v>
      </c>
      <c r="D261" s="16"/>
      <c r="E261" s="17">
        <v>11850.5</v>
      </c>
      <c r="F261" s="17"/>
      <c r="G261" s="17">
        <v>534.25</v>
      </c>
      <c r="H261" s="16"/>
      <c r="I261" s="17">
        <v>10490.28</v>
      </c>
      <c r="J261" s="17"/>
      <c r="K261" s="17">
        <v>534.25</v>
      </c>
      <c r="L261" s="43"/>
      <c r="M261" s="17">
        <f>(L260+L262)/2*25</f>
        <v>9022.75</v>
      </c>
      <c r="N261" s="17"/>
      <c r="O261" s="17">
        <f>(N260+N262)/2*25</f>
        <v>534.25</v>
      </c>
      <c r="P261" s="19">
        <f>I261+K261-M261-O261</f>
        <v>1467.53</v>
      </c>
    </row>
    <row r="262" ht="12" customHeight="1" spans="1:16">
      <c r="A262" s="14">
        <v>127</v>
      </c>
      <c r="B262" s="15" t="s">
        <v>142</v>
      </c>
      <c r="C262" s="18"/>
      <c r="D262" s="16">
        <v>448.81</v>
      </c>
      <c r="E262" s="17"/>
      <c r="F262" s="17">
        <v>22.5</v>
      </c>
      <c r="G262" s="17"/>
      <c r="H262" s="16">
        <v>399.45</v>
      </c>
      <c r="I262" s="17"/>
      <c r="J262" s="17">
        <v>22.5</v>
      </c>
      <c r="K262" s="17"/>
      <c r="L262" s="43">
        <v>344.71</v>
      </c>
      <c r="M262" s="17"/>
      <c r="N262" s="17">
        <v>22.5</v>
      </c>
      <c r="O262" s="17"/>
      <c r="P262" s="19"/>
    </row>
    <row r="263" ht="12" customHeight="1" spans="1:16">
      <c r="A263" s="14"/>
      <c r="B263" s="15"/>
      <c r="C263" s="18">
        <v>25</v>
      </c>
      <c r="D263" s="16"/>
      <c r="E263" s="17">
        <v>11320.25</v>
      </c>
      <c r="F263" s="17"/>
      <c r="G263" s="17">
        <v>565.5</v>
      </c>
      <c r="H263" s="16"/>
      <c r="I263" s="17">
        <v>10117.8</v>
      </c>
      <c r="J263" s="17"/>
      <c r="K263" s="17">
        <v>565.5</v>
      </c>
      <c r="L263" s="43"/>
      <c r="M263" s="17">
        <f>(L262+L264)/2*25</f>
        <v>8840.625</v>
      </c>
      <c r="N263" s="17"/>
      <c r="O263" s="17">
        <f>(N262+N264)/2*25</f>
        <v>565.5</v>
      </c>
      <c r="P263" s="19">
        <f>I263+K263-M263-O263</f>
        <v>1277.175</v>
      </c>
    </row>
    <row r="264" ht="12" customHeight="1" spans="1:16">
      <c r="A264" s="14">
        <v>128</v>
      </c>
      <c r="B264" s="15" t="s">
        <v>143</v>
      </c>
      <c r="C264" s="18"/>
      <c r="D264" s="16">
        <v>456.81</v>
      </c>
      <c r="E264" s="17"/>
      <c r="F264" s="17">
        <v>22.74</v>
      </c>
      <c r="G264" s="17"/>
      <c r="H264" s="16">
        <v>409.98</v>
      </c>
      <c r="I264" s="17"/>
      <c r="J264" s="17">
        <v>22.74</v>
      </c>
      <c r="K264" s="17"/>
      <c r="L264" s="43">
        <v>362.54</v>
      </c>
      <c r="M264" s="17"/>
      <c r="N264" s="17">
        <v>22.74</v>
      </c>
      <c r="O264" s="17"/>
      <c r="P264" s="19"/>
    </row>
    <row r="265" ht="12" customHeight="1" spans="1:16">
      <c r="A265" s="14"/>
      <c r="B265" s="15"/>
      <c r="C265" s="18">
        <v>25</v>
      </c>
      <c r="D265" s="16"/>
      <c r="E265" s="17">
        <v>11239.88</v>
      </c>
      <c r="F265" s="17"/>
      <c r="G265" s="17">
        <v>573.13</v>
      </c>
      <c r="H265" s="16"/>
      <c r="I265" s="17">
        <v>10003.84</v>
      </c>
      <c r="J265" s="17"/>
      <c r="K265" s="17">
        <v>573.13</v>
      </c>
      <c r="L265" s="43"/>
      <c r="M265" s="17">
        <f>(L264+L266)/2*25</f>
        <v>8788.25</v>
      </c>
      <c r="N265" s="17"/>
      <c r="O265" s="17">
        <f>(N264+N266)/2*25</f>
        <v>573.125</v>
      </c>
      <c r="P265" s="19">
        <f>I265+K265-M265-O265</f>
        <v>1215.595</v>
      </c>
    </row>
    <row r="266" ht="12" customHeight="1" spans="1:16">
      <c r="A266" s="14">
        <v>129</v>
      </c>
      <c r="B266" s="15" t="s">
        <v>144</v>
      </c>
      <c r="C266" s="18"/>
      <c r="D266" s="16">
        <v>442.38</v>
      </c>
      <c r="E266" s="17"/>
      <c r="F266" s="17">
        <v>23.11</v>
      </c>
      <c r="G266" s="17"/>
      <c r="H266" s="16">
        <v>390.33</v>
      </c>
      <c r="I266" s="17"/>
      <c r="J266" s="17">
        <v>23.11</v>
      </c>
      <c r="K266" s="17"/>
      <c r="L266" s="43">
        <v>340.52</v>
      </c>
      <c r="M266" s="17"/>
      <c r="N266" s="17">
        <v>23.11</v>
      </c>
      <c r="O266" s="17"/>
      <c r="P266" s="19"/>
    </row>
    <row r="267" ht="12" customHeight="1" spans="1:16">
      <c r="A267" s="14"/>
      <c r="B267" s="15"/>
      <c r="C267" s="18">
        <v>25</v>
      </c>
      <c r="D267" s="16"/>
      <c r="E267" s="17">
        <v>10828</v>
      </c>
      <c r="F267" s="17"/>
      <c r="G267" s="17">
        <v>594.25</v>
      </c>
      <c r="H267" s="16"/>
      <c r="I267" s="17">
        <v>9486.55</v>
      </c>
      <c r="J267" s="17"/>
      <c r="K267" s="17">
        <v>594.25</v>
      </c>
      <c r="L267" s="43"/>
      <c r="M267" s="17">
        <f>(L266+L268)/2*25</f>
        <v>8188.375</v>
      </c>
      <c r="N267" s="17"/>
      <c r="O267" s="17">
        <f>(N266+N268)/2*25</f>
        <v>594.25</v>
      </c>
      <c r="P267" s="19">
        <f>I267+K267-M267-O267</f>
        <v>1298.175</v>
      </c>
    </row>
    <row r="268" ht="12" customHeight="1" spans="1:16">
      <c r="A268" s="14">
        <v>130</v>
      </c>
      <c r="B268" s="15" t="s">
        <v>145</v>
      </c>
      <c r="C268" s="18"/>
      <c r="D268" s="16">
        <v>423.86</v>
      </c>
      <c r="E268" s="17"/>
      <c r="F268" s="17">
        <v>24.43</v>
      </c>
      <c r="G268" s="17"/>
      <c r="H268" s="16">
        <v>368.59</v>
      </c>
      <c r="I268" s="17"/>
      <c r="J268" s="17">
        <v>24.43</v>
      </c>
      <c r="K268" s="17"/>
      <c r="L268" s="43">
        <v>314.55</v>
      </c>
      <c r="M268" s="17"/>
      <c r="N268" s="17">
        <v>24.43</v>
      </c>
      <c r="O268" s="17"/>
      <c r="P268" s="19"/>
    </row>
    <row r="269" ht="12" customHeight="1" spans="1:16">
      <c r="A269" s="14"/>
      <c r="B269" s="15"/>
      <c r="C269" s="18">
        <v>25</v>
      </c>
      <c r="D269" s="16"/>
      <c r="E269" s="17">
        <v>10634.25</v>
      </c>
      <c r="F269" s="17"/>
      <c r="G269" s="17">
        <v>599.88</v>
      </c>
      <c r="H269" s="16"/>
      <c r="I269" s="17">
        <v>9228.1</v>
      </c>
      <c r="J269" s="17"/>
      <c r="K269" s="17">
        <v>599.88</v>
      </c>
      <c r="L269" s="43"/>
      <c r="M269" s="17">
        <f>(L268+L270)/2*25</f>
        <v>7893.5</v>
      </c>
      <c r="N269" s="17"/>
      <c r="O269" s="17">
        <f>(N268+N270)/2*25</f>
        <v>599.875</v>
      </c>
      <c r="P269" s="19">
        <f>I269+K269-M269-O269</f>
        <v>1334.605</v>
      </c>
    </row>
    <row r="270" ht="12" customHeight="1" spans="1:16">
      <c r="A270" s="14">
        <v>131</v>
      </c>
      <c r="B270" s="15" t="s">
        <v>146</v>
      </c>
      <c r="C270" s="18"/>
      <c r="D270" s="16">
        <v>426.88</v>
      </c>
      <c r="E270" s="17"/>
      <c r="F270" s="17">
        <v>23.56</v>
      </c>
      <c r="G270" s="17"/>
      <c r="H270" s="16">
        <v>369.65</v>
      </c>
      <c r="I270" s="17"/>
      <c r="J270" s="17">
        <v>23.56</v>
      </c>
      <c r="K270" s="17"/>
      <c r="L270" s="43">
        <v>316.93</v>
      </c>
      <c r="M270" s="17"/>
      <c r="N270" s="17">
        <v>23.56</v>
      </c>
      <c r="O270" s="17"/>
      <c r="P270" s="19"/>
    </row>
    <row r="271" ht="12" customHeight="1" spans="1:16">
      <c r="A271" s="14"/>
      <c r="B271" s="15"/>
      <c r="C271" s="18">
        <v>25</v>
      </c>
      <c r="D271" s="16"/>
      <c r="E271" s="17">
        <v>10194.38</v>
      </c>
      <c r="F271" s="17"/>
      <c r="G271" s="17">
        <v>607</v>
      </c>
      <c r="H271" s="16"/>
      <c r="I271" s="17">
        <v>8846.64</v>
      </c>
      <c r="J271" s="17"/>
      <c r="K271" s="17">
        <v>607</v>
      </c>
      <c r="L271" s="43"/>
      <c r="M271" s="17">
        <f>(L270+L272)/2*25</f>
        <v>7361.625</v>
      </c>
      <c r="N271" s="17"/>
      <c r="O271" s="17">
        <f>(N270+N272)/2*25</f>
        <v>607</v>
      </c>
      <c r="P271" s="19">
        <f>I271+K271-M271-O271</f>
        <v>1485.015</v>
      </c>
    </row>
    <row r="272" ht="12" customHeight="1" spans="1:16">
      <c r="A272" s="14">
        <v>132</v>
      </c>
      <c r="B272" s="15" t="s">
        <v>147</v>
      </c>
      <c r="C272" s="18"/>
      <c r="D272" s="16">
        <v>388.67</v>
      </c>
      <c r="E272" s="17"/>
      <c r="F272" s="17">
        <v>25</v>
      </c>
      <c r="G272" s="17"/>
      <c r="H272" s="16">
        <v>338.08</v>
      </c>
      <c r="I272" s="17"/>
      <c r="J272" s="17">
        <v>25</v>
      </c>
      <c r="K272" s="17"/>
      <c r="L272" s="43">
        <v>272</v>
      </c>
      <c r="M272" s="17"/>
      <c r="N272" s="17">
        <v>25</v>
      </c>
      <c r="O272" s="17"/>
      <c r="P272" s="19"/>
    </row>
    <row r="273" ht="12" customHeight="1" spans="1:16">
      <c r="A273" s="14"/>
      <c r="B273" s="15"/>
      <c r="C273" s="18">
        <v>25</v>
      </c>
      <c r="D273" s="16"/>
      <c r="E273" s="17">
        <v>9379.75</v>
      </c>
      <c r="F273" s="17"/>
      <c r="G273" s="17">
        <v>649.88</v>
      </c>
      <c r="H273" s="16"/>
      <c r="I273" s="17">
        <v>7984.76</v>
      </c>
      <c r="J273" s="17"/>
      <c r="K273" s="17">
        <v>649.88</v>
      </c>
      <c r="L273" s="43"/>
      <c r="M273" s="17">
        <f>(L272+L274)/2*25</f>
        <v>6527</v>
      </c>
      <c r="N273" s="17"/>
      <c r="O273" s="17">
        <f>(N272+N274)/2*25</f>
        <v>649.875</v>
      </c>
      <c r="P273" s="19">
        <f>I273+K273-M273-O273</f>
        <v>1457.765</v>
      </c>
    </row>
    <row r="274" ht="12" customHeight="1" spans="1:16">
      <c r="A274" s="14">
        <v>133</v>
      </c>
      <c r="B274" s="15" t="s">
        <v>148</v>
      </c>
      <c r="C274" s="18"/>
      <c r="D274" s="16">
        <v>361.71</v>
      </c>
      <c r="E274" s="17"/>
      <c r="F274" s="17">
        <v>26.99</v>
      </c>
      <c r="G274" s="17"/>
      <c r="H274" s="16">
        <v>300.7</v>
      </c>
      <c r="I274" s="17"/>
      <c r="J274" s="17">
        <v>26.99</v>
      </c>
      <c r="K274" s="17"/>
      <c r="L274" s="43">
        <v>250.16</v>
      </c>
      <c r="M274" s="17"/>
      <c r="N274" s="17">
        <v>26.99</v>
      </c>
      <c r="O274" s="17"/>
      <c r="P274" s="19"/>
    </row>
    <row r="275" ht="12" customHeight="1" spans="1:16">
      <c r="A275" s="14"/>
      <c r="B275" s="15"/>
      <c r="C275" s="18">
        <v>25</v>
      </c>
      <c r="D275" s="16"/>
      <c r="E275" s="17">
        <v>8816.25</v>
      </c>
      <c r="F275" s="17"/>
      <c r="G275" s="17">
        <v>696</v>
      </c>
      <c r="H275" s="16"/>
      <c r="I275" s="17">
        <v>7569.27</v>
      </c>
      <c r="J275" s="17"/>
      <c r="K275" s="17">
        <v>696</v>
      </c>
      <c r="L275" s="43"/>
      <c r="M275" s="17">
        <f>(L274+L276)/2*25</f>
        <v>6301.625</v>
      </c>
      <c r="N275" s="17"/>
      <c r="O275" s="17">
        <f>(N274+N276)/2*25</f>
        <v>696</v>
      </c>
      <c r="P275" s="19">
        <f>I275+K275-M275-O275</f>
        <v>1267.645</v>
      </c>
    </row>
    <row r="276" ht="12" customHeight="1" spans="1:16">
      <c r="A276" s="14">
        <v>134</v>
      </c>
      <c r="B276" s="15" t="s">
        <v>149</v>
      </c>
      <c r="C276" s="18"/>
      <c r="D276" s="16">
        <v>343.59</v>
      </c>
      <c r="E276" s="17"/>
      <c r="F276" s="17">
        <v>28.69</v>
      </c>
      <c r="G276" s="17"/>
      <c r="H276" s="16">
        <v>304.84</v>
      </c>
      <c r="I276" s="17"/>
      <c r="J276" s="17">
        <v>28.69</v>
      </c>
      <c r="K276" s="17"/>
      <c r="L276" s="43">
        <v>253.97</v>
      </c>
      <c r="M276" s="17"/>
      <c r="N276" s="17">
        <v>28.69</v>
      </c>
      <c r="O276" s="17"/>
      <c r="P276" s="19"/>
    </row>
    <row r="277" ht="12" customHeight="1" spans="1:16">
      <c r="A277" s="14"/>
      <c r="B277" s="15"/>
      <c r="C277" s="18">
        <v>25</v>
      </c>
      <c r="D277" s="16"/>
      <c r="E277" s="17">
        <v>8547.13</v>
      </c>
      <c r="F277" s="17"/>
      <c r="G277" s="17">
        <v>724.13</v>
      </c>
      <c r="H277" s="16"/>
      <c r="I277" s="17">
        <v>7528.5</v>
      </c>
      <c r="J277" s="17"/>
      <c r="K277" s="17">
        <v>724.13</v>
      </c>
      <c r="L277" s="43"/>
      <c r="M277" s="17">
        <f>(L276+L278)/2*25</f>
        <v>6204.375</v>
      </c>
      <c r="N277" s="17"/>
      <c r="O277" s="17">
        <f>(N276+N278)/2*25</f>
        <v>724.125</v>
      </c>
      <c r="P277" s="19">
        <f>I277+K277-M277-O277</f>
        <v>1324.13</v>
      </c>
    </row>
    <row r="278" ht="12" customHeight="1" spans="1:16">
      <c r="A278" s="14">
        <v>135</v>
      </c>
      <c r="B278" s="15" t="s">
        <v>150</v>
      </c>
      <c r="C278" s="18"/>
      <c r="D278" s="16">
        <v>340.18</v>
      </c>
      <c r="E278" s="17"/>
      <c r="F278" s="17">
        <v>29.24</v>
      </c>
      <c r="G278" s="17"/>
      <c r="H278" s="16">
        <v>297.44</v>
      </c>
      <c r="I278" s="17"/>
      <c r="J278" s="17">
        <v>29.24</v>
      </c>
      <c r="K278" s="17"/>
      <c r="L278" s="43">
        <v>242.38</v>
      </c>
      <c r="M278" s="17"/>
      <c r="N278" s="17">
        <v>29.24</v>
      </c>
      <c r="O278" s="17"/>
      <c r="P278" s="19"/>
    </row>
    <row r="279" ht="12" customHeight="1" spans="1:16">
      <c r="A279" s="14"/>
      <c r="B279" s="15"/>
      <c r="C279" s="18">
        <v>25</v>
      </c>
      <c r="D279" s="16"/>
      <c r="E279" s="17">
        <v>8645.5</v>
      </c>
      <c r="F279" s="17"/>
      <c r="G279" s="17">
        <v>746</v>
      </c>
      <c r="H279" s="16"/>
      <c r="I279" s="17">
        <v>7637.23</v>
      </c>
      <c r="J279" s="17"/>
      <c r="K279" s="17">
        <v>746</v>
      </c>
      <c r="L279" s="43"/>
      <c r="M279" s="17">
        <f>(L278+L280)/2*25</f>
        <v>6404.25</v>
      </c>
      <c r="N279" s="17"/>
      <c r="O279" s="17">
        <f>(N278+N280)/2*25</f>
        <v>746</v>
      </c>
      <c r="P279" s="19">
        <f>I279+K279-M279-O279</f>
        <v>1232.98</v>
      </c>
    </row>
    <row r="280" ht="12" customHeight="1" spans="1:16">
      <c r="A280" s="14">
        <v>136</v>
      </c>
      <c r="B280" s="15" t="s">
        <v>151</v>
      </c>
      <c r="C280" s="18"/>
      <c r="D280" s="16">
        <v>351.46</v>
      </c>
      <c r="E280" s="17"/>
      <c r="F280" s="17">
        <v>30.44</v>
      </c>
      <c r="G280" s="17"/>
      <c r="H280" s="16">
        <v>313.54</v>
      </c>
      <c r="I280" s="17"/>
      <c r="J280" s="17">
        <v>30.44</v>
      </c>
      <c r="K280" s="17"/>
      <c r="L280" s="43">
        <v>269.96</v>
      </c>
      <c r="M280" s="17"/>
      <c r="N280" s="17">
        <v>30.44</v>
      </c>
      <c r="O280" s="17"/>
      <c r="P280" s="19"/>
    </row>
    <row r="281" ht="12" customHeight="1" spans="1:16">
      <c r="A281" s="14"/>
      <c r="B281" s="15"/>
      <c r="C281" s="18">
        <v>25</v>
      </c>
      <c r="D281" s="16"/>
      <c r="E281" s="17">
        <v>8871.13</v>
      </c>
      <c r="F281" s="17"/>
      <c r="G281" s="17">
        <v>775.25</v>
      </c>
      <c r="H281" s="16"/>
      <c r="I281" s="17">
        <v>7787.88</v>
      </c>
      <c r="J281" s="17"/>
      <c r="K281" s="17">
        <v>775.25</v>
      </c>
      <c r="L281" s="43"/>
      <c r="M281" s="17">
        <f>(L280+L282)/2*25</f>
        <v>6677</v>
      </c>
      <c r="N281" s="17"/>
      <c r="O281" s="17">
        <f>(N280+N282)/2*25</f>
        <v>775.25</v>
      </c>
      <c r="P281" s="19">
        <f>I281+K281-M281-O281</f>
        <v>1110.88</v>
      </c>
    </row>
    <row r="282" ht="12" customHeight="1" spans="1:16">
      <c r="A282" s="14">
        <v>137</v>
      </c>
      <c r="B282" s="15" t="s">
        <v>152</v>
      </c>
      <c r="C282" s="18"/>
      <c r="D282" s="16">
        <v>358.23</v>
      </c>
      <c r="E282" s="17"/>
      <c r="F282" s="17">
        <v>31.58</v>
      </c>
      <c r="G282" s="17"/>
      <c r="H282" s="16">
        <v>309.49</v>
      </c>
      <c r="I282" s="17"/>
      <c r="J282" s="17">
        <v>31.58</v>
      </c>
      <c r="K282" s="17"/>
      <c r="L282" s="43">
        <v>264.2</v>
      </c>
      <c r="M282" s="17"/>
      <c r="N282" s="17">
        <v>31.58</v>
      </c>
      <c r="O282" s="17"/>
      <c r="P282" s="19"/>
    </row>
    <row r="283" ht="12" customHeight="1" spans="1:16">
      <c r="A283" s="14"/>
      <c r="B283" s="15"/>
      <c r="C283" s="18">
        <v>25</v>
      </c>
      <c r="D283" s="16"/>
      <c r="E283" s="17">
        <v>8833.75</v>
      </c>
      <c r="F283" s="17"/>
      <c r="G283" s="17">
        <v>782.25</v>
      </c>
      <c r="H283" s="16"/>
      <c r="I283" s="17">
        <v>7571.8</v>
      </c>
      <c r="J283" s="17"/>
      <c r="K283" s="17">
        <v>782.25</v>
      </c>
      <c r="L283" s="43"/>
      <c r="M283" s="17">
        <f>(L282+L284)/2*25</f>
        <v>6651.375</v>
      </c>
      <c r="N283" s="17"/>
      <c r="O283" s="17">
        <f>(N282+N284)/2*25</f>
        <v>782.25</v>
      </c>
      <c r="P283" s="19">
        <f>I283+K283-M283-O283</f>
        <v>920.424999999999</v>
      </c>
    </row>
    <row r="284" ht="12" customHeight="1" spans="1:16">
      <c r="A284" s="14">
        <v>138</v>
      </c>
      <c r="B284" s="15" t="s">
        <v>153</v>
      </c>
      <c r="C284" s="18"/>
      <c r="D284" s="16">
        <v>348.47</v>
      </c>
      <c r="E284" s="17"/>
      <c r="F284" s="17">
        <v>31</v>
      </c>
      <c r="G284" s="17"/>
      <c r="H284" s="16">
        <v>296.25</v>
      </c>
      <c r="I284" s="17"/>
      <c r="J284" s="17">
        <v>31</v>
      </c>
      <c r="K284" s="17"/>
      <c r="L284" s="43">
        <v>267.91</v>
      </c>
      <c r="M284" s="17"/>
      <c r="N284" s="17">
        <v>31</v>
      </c>
      <c r="O284" s="17"/>
      <c r="P284" s="19"/>
    </row>
    <row r="285" ht="12" customHeight="1" spans="1:16">
      <c r="A285" s="14"/>
      <c r="B285" s="15"/>
      <c r="C285" s="18">
        <v>25</v>
      </c>
      <c r="D285" s="16"/>
      <c r="E285" s="17">
        <v>9606</v>
      </c>
      <c r="F285" s="17"/>
      <c r="G285" s="17">
        <v>777</v>
      </c>
      <c r="H285" s="16"/>
      <c r="I285" s="17">
        <v>8177.7</v>
      </c>
      <c r="J285" s="17"/>
      <c r="K285" s="17">
        <v>777</v>
      </c>
      <c r="L285" s="43"/>
      <c r="M285" s="17">
        <f>(L284+L286)/2*25</f>
        <v>7194.375</v>
      </c>
      <c r="N285" s="17"/>
      <c r="O285" s="17">
        <f>(N284+N286)/2*25</f>
        <v>777</v>
      </c>
      <c r="P285" s="19">
        <f>I285+K285-M285-O285</f>
        <v>983.325000000002</v>
      </c>
    </row>
    <row r="286" ht="12" customHeight="1" spans="1:16">
      <c r="A286" s="14">
        <v>139</v>
      </c>
      <c r="B286" s="15" t="s">
        <v>154</v>
      </c>
      <c r="C286" s="18"/>
      <c r="D286" s="16">
        <v>420.01</v>
      </c>
      <c r="E286" s="17"/>
      <c r="F286" s="17">
        <v>31.16</v>
      </c>
      <c r="G286" s="17"/>
      <c r="H286" s="16">
        <v>357.97</v>
      </c>
      <c r="I286" s="17"/>
      <c r="J286" s="17">
        <v>31.16</v>
      </c>
      <c r="K286" s="17"/>
      <c r="L286" s="43">
        <v>307.64</v>
      </c>
      <c r="M286" s="17"/>
      <c r="N286" s="17">
        <v>31.16</v>
      </c>
      <c r="O286" s="17"/>
      <c r="P286" s="19"/>
    </row>
    <row r="287" ht="12" customHeight="1" spans="1:16">
      <c r="A287" s="14"/>
      <c r="B287" s="15"/>
      <c r="C287" s="18">
        <v>25</v>
      </c>
      <c r="D287" s="16"/>
      <c r="E287" s="17">
        <v>10791.13</v>
      </c>
      <c r="F287" s="17"/>
      <c r="G287" s="17">
        <v>790.88</v>
      </c>
      <c r="H287" s="16"/>
      <c r="I287" s="17">
        <v>9341.88</v>
      </c>
      <c r="J287" s="17"/>
      <c r="K287" s="17">
        <v>790.88</v>
      </c>
      <c r="L287" s="43"/>
      <c r="M287" s="17">
        <f>(L286+L288)/2*25</f>
        <v>8202</v>
      </c>
      <c r="N287" s="17"/>
      <c r="O287" s="17">
        <f>(N286+N288)/2*25</f>
        <v>790.875</v>
      </c>
      <c r="P287" s="19">
        <f>I287+K287-M287-O287</f>
        <v>1139.885</v>
      </c>
    </row>
    <row r="288" ht="12" customHeight="1" spans="1:16">
      <c r="A288" s="14">
        <v>140</v>
      </c>
      <c r="B288" s="15" t="s">
        <v>155</v>
      </c>
      <c r="C288" s="18"/>
      <c r="D288" s="16">
        <v>443.28</v>
      </c>
      <c r="E288" s="17"/>
      <c r="F288" s="17">
        <v>32.11</v>
      </c>
      <c r="G288" s="17"/>
      <c r="H288" s="16">
        <v>389.38</v>
      </c>
      <c r="I288" s="17"/>
      <c r="J288" s="17">
        <v>32.11</v>
      </c>
      <c r="K288" s="17"/>
      <c r="L288" s="43">
        <v>348.52</v>
      </c>
      <c r="M288" s="17"/>
      <c r="N288" s="17">
        <v>32.11</v>
      </c>
      <c r="O288" s="17"/>
      <c r="P288" s="19"/>
    </row>
    <row r="289" ht="12" customHeight="1" spans="1:16">
      <c r="A289" s="14"/>
      <c r="B289" s="15"/>
      <c r="C289" s="18">
        <v>25</v>
      </c>
      <c r="D289" s="16"/>
      <c r="E289" s="17">
        <v>12569.25</v>
      </c>
      <c r="F289" s="17"/>
      <c r="G289" s="17">
        <v>916.25</v>
      </c>
      <c r="H289" s="16"/>
      <c r="I289" s="17">
        <v>11201.96</v>
      </c>
      <c r="J289" s="17"/>
      <c r="K289" s="17">
        <v>916.25</v>
      </c>
      <c r="L289" s="43"/>
      <c r="M289" s="17">
        <f>(L288+L290)/2*25</f>
        <v>10006.75</v>
      </c>
      <c r="N289" s="17"/>
      <c r="O289" s="17">
        <f>(N288+N290)/2*25</f>
        <v>916.25</v>
      </c>
      <c r="P289" s="19">
        <f>I289+K289-M289-O289</f>
        <v>1195.21</v>
      </c>
    </row>
    <row r="290" ht="12" customHeight="1" spans="1:16">
      <c r="A290" s="14">
        <v>141</v>
      </c>
      <c r="B290" s="15" t="s">
        <v>156</v>
      </c>
      <c r="C290" s="18"/>
      <c r="D290" s="16">
        <v>562.26</v>
      </c>
      <c r="E290" s="17"/>
      <c r="F290" s="17">
        <v>41.19</v>
      </c>
      <c r="G290" s="17"/>
      <c r="H290" s="16">
        <v>506.77</v>
      </c>
      <c r="I290" s="17"/>
      <c r="J290" s="17">
        <v>41.19</v>
      </c>
      <c r="K290" s="17"/>
      <c r="L290" s="43">
        <v>452.02</v>
      </c>
      <c r="M290" s="17"/>
      <c r="N290" s="17">
        <v>41.19</v>
      </c>
      <c r="O290" s="17"/>
      <c r="P290" s="19"/>
    </row>
    <row r="291" ht="12" customHeight="1" spans="1:16">
      <c r="A291" s="14"/>
      <c r="B291" s="15"/>
      <c r="C291" s="18">
        <v>25</v>
      </c>
      <c r="D291" s="16"/>
      <c r="E291" s="17">
        <v>14635.38</v>
      </c>
      <c r="F291" s="17"/>
      <c r="G291" s="17">
        <v>1033.25</v>
      </c>
      <c r="H291" s="16"/>
      <c r="I291" s="17">
        <v>13233.46</v>
      </c>
      <c r="J291" s="17"/>
      <c r="K291" s="17">
        <v>1033.25</v>
      </c>
      <c r="L291" s="43"/>
      <c r="M291" s="17">
        <f>(L290+L292)/2*25</f>
        <v>11928.125</v>
      </c>
      <c r="N291" s="17"/>
      <c r="O291" s="17">
        <f>(N290+N292)/2*25</f>
        <v>1033.25</v>
      </c>
      <c r="P291" s="19">
        <f>I291+K291-M291-O291</f>
        <v>1305.335</v>
      </c>
    </row>
    <row r="292" ht="12" customHeight="1" spans="1:16">
      <c r="A292" s="14">
        <v>142</v>
      </c>
      <c r="B292" s="15" t="s">
        <v>157</v>
      </c>
      <c r="C292" s="18"/>
      <c r="D292" s="16">
        <v>608.57</v>
      </c>
      <c r="E292" s="17"/>
      <c r="F292" s="17">
        <v>41.47</v>
      </c>
      <c r="G292" s="17"/>
      <c r="H292" s="16">
        <v>551.9</v>
      </c>
      <c r="I292" s="17"/>
      <c r="J292" s="17">
        <v>41.47</v>
      </c>
      <c r="K292" s="17"/>
      <c r="L292" s="43">
        <v>502.23</v>
      </c>
      <c r="M292" s="17"/>
      <c r="N292" s="17">
        <v>41.47</v>
      </c>
      <c r="O292" s="17"/>
      <c r="P292" s="19"/>
    </row>
    <row r="293" ht="12" customHeight="1" spans="1:16">
      <c r="A293" s="14"/>
      <c r="B293" s="15"/>
      <c r="C293" s="18">
        <v>25</v>
      </c>
      <c r="D293" s="16"/>
      <c r="E293" s="17">
        <v>16016.38</v>
      </c>
      <c r="F293" s="17"/>
      <c r="G293" s="17">
        <v>1061.63</v>
      </c>
      <c r="H293" s="16"/>
      <c r="I293" s="17">
        <v>14663.65</v>
      </c>
      <c r="J293" s="17"/>
      <c r="K293" s="17">
        <v>1061.63</v>
      </c>
      <c r="L293" s="43"/>
      <c r="M293" s="17">
        <f>(L292+L294)/2*25</f>
        <v>13341.125</v>
      </c>
      <c r="N293" s="17"/>
      <c r="O293" s="17">
        <f>(N292+N294)/2*25</f>
        <v>1061.625</v>
      </c>
      <c r="P293" s="19">
        <f>I293+K293-M293-O293</f>
        <v>1322.53</v>
      </c>
    </row>
    <row r="294" ht="12" customHeight="1" spans="1:16">
      <c r="A294" s="14">
        <v>143</v>
      </c>
      <c r="B294" s="15" t="s">
        <v>158</v>
      </c>
      <c r="C294" s="18"/>
      <c r="D294" s="16">
        <v>672.74</v>
      </c>
      <c r="E294" s="17"/>
      <c r="F294" s="17">
        <v>43.46</v>
      </c>
      <c r="G294" s="17"/>
      <c r="H294" s="16">
        <v>621.19</v>
      </c>
      <c r="I294" s="17"/>
      <c r="J294" s="17">
        <v>43.46</v>
      </c>
      <c r="K294" s="17"/>
      <c r="L294" s="43">
        <v>565.06</v>
      </c>
      <c r="M294" s="17"/>
      <c r="N294" s="17">
        <v>43.46</v>
      </c>
      <c r="O294" s="17"/>
      <c r="P294" s="19"/>
    </row>
    <row r="295" ht="12" customHeight="1" spans="1:16">
      <c r="A295" s="14"/>
      <c r="B295" s="15"/>
      <c r="C295" s="18">
        <v>25</v>
      </c>
      <c r="D295" s="16"/>
      <c r="E295" s="17">
        <v>17719.88</v>
      </c>
      <c r="F295" s="17"/>
      <c r="G295" s="17">
        <v>1129.25</v>
      </c>
      <c r="H295" s="16"/>
      <c r="I295" s="17">
        <v>16363.29</v>
      </c>
      <c r="J295" s="17"/>
      <c r="K295" s="17">
        <v>1129.25</v>
      </c>
      <c r="L295" s="43"/>
      <c r="M295" s="17">
        <f>(L294+L296)/2*25</f>
        <v>14939.75</v>
      </c>
      <c r="N295" s="17"/>
      <c r="O295" s="17">
        <f>(N294+N296)/2*25</f>
        <v>1129.25</v>
      </c>
      <c r="P295" s="19">
        <f>I295+K295-M295-O295</f>
        <v>1423.54</v>
      </c>
    </row>
    <row r="296" ht="12" customHeight="1" spans="1:16">
      <c r="A296" s="14">
        <v>144</v>
      </c>
      <c r="B296" s="15" t="s">
        <v>159</v>
      </c>
      <c r="C296" s="18"/>
      <c r="D296" s="16">
        <v>744.85</v>
      </c>
      <c r="E296" s="17"/>
      <c r="F296" s="17">
        <v>46.88</v>
      </c>
      <c r="G296" s="17"/>
      <c r="H296" s="16">
        <v>687.88</v>
      </c>
      <c r="I296" s="17"/>
      <c r="J296" s="17">
        <v>46.88</v>
      </c>
      <c r="K296" s="17"/>
      <c r="L296" s="43">
        <v>630.12</v>
      </c>
      <c r="M296" s="17"/>
      <c r="N296" s="17">
        <v>46.88</v>
      </c>
      <c r="O296" s="17"/>
      <c r="P296" s="19"/>
    </row>
    <row r="297" ht="12" customHeight="1" spans="1:16">
      <c r="A297" s="14"/>
      <c r="B297" s="15"/>
      <c r="C297" s="18">
        <v>25</v>
      </c>
      <c r="D297" s="16"/>
      <c r="E297" s="17">
        <v>18693.13</v>
      </c>
      <c r="F297" s="17"/>
      <c r="G297" s="17">
        <v>1154.25</v>
      </c>
      <c r="H297" s="16"/>
      <c r="I297" s="17">
        <v>17317.18</v>
      </c>
      <c r="J297" s="17"/>
      <c r="K297" s="17">
        <v>1154.25</v>
      </c>
      <c r="L297" s="43"/>
      <c r="M297" s="17">
        <f>(L296+L298)/2*25</f>
        <v>15852.75</v>
      </c>
      <c r="N297" s="17"/>
      <c r="O297" s="17">
        <f>(N296+N298)/2*25</f>
        <v>1154.25</v>
      </c>
      <c r="P297" s="19">
        <f>I297+K297-M297-O297</f>
        <v>1464.43</v>
      </c>
    </row>
    <row r="298" ht="12" customHeight="1" spans="1:16">
      <c r="A298" s="14">
        <v>145</v>
      </c>
      <c r="B298" s="15" t="s">
        <v>160</v>
      </c>
      <c r="C298" s="18"/>
      <c r="D298" s="16">
        <v>750.6</v>
      </c>
      <c r="E298" s="17"/>
      <c r="F298" s="17">
        <v>45.46</v>
      </c>
      <c r="G298" s="17"/>
      <c r="H298" s="16">
        <v>697.5</v>
      </c>
      <c r="I298" s="17"/>
      <c r="J298" s="17">
        <v>45.46</v>
      </c>
      <c r="K298" s="17"/>
      <c r="L298" s="43">
        <v>638.1</v>
      </c>
      <c r="M298" s="17"/>
      <c r="N298" s="17">
        <v>45.46</v>
      </c>
      <c r="O298" s="17"/>
      <c r="P298" s="19"/>
    </row>
    <row r="299" ht="12" customHeight="1" spans="1:16">
      <c r="A299" s="14"/>
      <c r="B299" s="15"/>
      <c r="C299" s="18">
        <v>25</v>
      </c>
      <c r="D299" s="16"/>
      <c r="E299" s="17">
        <v>18818</v>
      </c>
      <c r="F299" s="17"/>
      <c r="G299" s="17">
        <v>1155.5</v>
      </c>
      <c r="H299" s="16"/>
      <c r="I299" s="17">
        <v>17303.61</v>
      </c>
      <c r="J299" s="17"/>
      <c r="K299" s="17">
        <v>1155.5</v>
      </c>
      <c r="L299" s="43"/>
      <c r="M299" s="17">
        <f>(L298+L300)/2*25</f>
        <v>16162.625</v>
      </c>
      <c r="N299" s="17"/>
      <c r="O299" s="17">
        <f>(N298+N300)/2*25</f>
        <v>1155.5</v>
      </c>
      <c r="P299" s="19">
        <f>I299+K299-M299-O299</f>
        <v>1140.985</v>
      </c>
    </row>
    <row r="300" ht="12" customHeight="1" spans="1:16">
      <c r="A300" s="14">
        <v>146</v>
      </c>
      <c r="B300" s="15" t="s">
        <v>161</v>
      </c>
      <c r="C300" s="18"/>
      <c r="D300" s="16">
        <v>754.84</v>
      </c>
      <c r="E300" s="17"/>
      <c r="F300" s="17">
        <v>46.98</v>
      </c>
      <c r="G300" s="17"/>
      <c r="H300" s="16">
        <v>686.79</v>
      </c>
      <c r="I300" s="17"/>
      <c r="J300" s="17">
        <v>46.98</v>
      </c>
      <c r="K300" s="17"/>
      <c r="L300" s="43">
        <v>654.91</v>
      </c>
      <c r="M300" s="17"/>
      <c r="N300" s="17">
        <v>46.98</v>
      </c>
      <c r="O300" s="17"/>
      <c r="P300" s="19"/>
    </row>
    <row r="301" ht="12" customHeight="1" spans="1:16">
      <c r="A301" s="14"/>
      <c r="B301" s="15"/>
      <c r="C301" s="18">
        <v>25</v>
      </c>
      <c r="D301" s="16"/>
      <c r="E301" s="17">
        <v>18309.5</v>
      </c>
      <c r="F301" s="17"/>
      <c r="G301" s="17">
        <v>1155.5</v>
      </c>
      <c r="H301" s="16"/>
      <c r="I301" s="17">
        <v>16616.53</v>
      </c>
      <c r="J301" s="17"/>
      <c r="K301" s="17">
        <v>1155.5</v>
      </c>
      <c r="L301" s="43"/>
      <c r="M301" s="17">
        <f>(L300+L302)/2*25</f>
        <v>15558.875</v>
      </c>
      <c r="N301" s="17"/>
      <c r="O301" s="17">
        <f>(N300+N302)/2*25</f>
        <v>1155.5</v>
      </c>
      <c r="P301" s="19">
        <f>I301+K301-M301-O301</f>
        <v>1057.655</v>
      </c>
    </row>
    <row r="302" ht="12" customHeight="1" spans="1:16">
      <c r="A302" s="14">
        <v>147</v>
      </c>
      <c r="B302" s="15" t="s">
        <v>162</v>
      </c>
      <c r="C302" s="18"/>
      <c r="D302" s="16">
        <v>709.92</v>
      </c>
      <c r="E302" s="17"/>
      <c r="F302" s="17">
        <v>45.46</v>
      </c>
      <c r="G302" s="17"/>
      <c r="H302" s="16">
        <v>642.53</v>
      </c>
      <c r="I302" s="17"/>
      <c r="J302" s="17">
        <v>45.46</v>
      </c>
      <c r="K302" s="17"/>
      <c r="L302" s="43">
        <v>589.8</v>
      </c>
      <c r="M302" s="17"/>
      <c r="N302" s="17">
        <v>45.46</v>
      </c>
      <c r="O302" s="17"/>
      <c r="P302" s="19"/>
    </row>
    <row r="303" ht="12" customHeight="1" spans="1:16">
      <c r="A303" s="14"/>
      <c r="B303" s="15"/>
      <c r="C303" s="18">
        <v>25</v>
      </c>
      <c r="D303" s="16"/>
      <c r="E303" s="17">
        <v>14400.88</v>
      </c>
      <c r="F303" s="17"/>
      <c r="G303" s="17">
        <v>903.88</v>
      </c>
      <c r="H303" s="16"/>
      <c r="I303" s="17">
        <v>12867.46</v>
      </c>
      <c r="J303" s="17"/>
      <c r="K303" s="17">
        <v>903.88</v>
      </c>
      <c r="L303" s="43"/>
      <c r="M303" s="17">
        <f>(L302+L304)/2*25</f>
        <v>11783.125</v>
      </c>
      <c r="N303" s="17"/>
      <c r="O303" s="17">
        <f>(N302+N304)/2*25</f>
        <v>903.875</v>
      </c>
      <c r="P303" s="19">
        <f>I303+K303-M303-O303</f>
        <v>1084.34</v>
      </c>
    </row>
    <row r="304" ht="12" customHeight="1" spans="1:16">
      <c r="A304" s="14">
        <v>148</v>
      </c>
      <c r="B304" s="15" t="s">
        <v>163</v>
      </c>
      <c r="C304" s="18"/>
      <c r="D304" s="16">
        <v>442.15</v>
      </c>
      <c r="E304" s="17"/>
      <c r="F304" s="17">
        <v>26.85</v>
      </c>
      <c r="G304" s="17"/>
      <c r="H304" s="16">
        <v>386.87</v>
      </c>
      <c r="I304" s="17"/>
      <c r="J304" s="17">
        <v>26.85</v>
      </c>
      <c r="K304" s="17"/>
      <c r="L304" s="43">
        <v>352.85</v>
      </c>
      <c r="M304" s="17"/>
      <c r="N304" s="17">
        <v>26.85</v>
      </c>
      <c r="O304" s="17"/>
      <c r="P304" s="19"/>
    </row>
    <row r="305" ht="12" customHeight="1" spans="1:16">
      <c r="A305" s="14"/>
      <c r="B305" s="15"/>
      <c r="C305" s="18">
        <v>25</v>
      </c>
      <c r="D305" s="16"/>
      <c r="E305" s="17">
        <v>10857.38</v>
      </c>
      <c r="F305" s="17"/>
      <c r="G305" s="17">
        <v>728.25</v>
      </c>
      <c r="H305" s="16"/>
      <c r="I305" s="17">
        <v>9650.5</v>
      </c>
      <c r="J305" s="17"/>
      <c r="K305" s="17">
        <v>728.25</v>
      </c>
      <c r="L305" s="43"/>
      <c r="M305" s="17">
        <f>(L304+L306)/2*25</f>
        <v>8639.25</v>
      </c>
      <c r="N305" s="17"/>
      <c r="O305" s="17">
        <f>(N304+N306)/2*25</f>
        <v>728.25</v>
      </c>
      <c r="P305" s="19">
        <f>I305+K305-M305-O305</f>
        <v>1011.25</v>
      </c>
    </row>
    <row r="306" ht="12" customHeight="1" spans="1:16">
      <c r="A306" s="14">
        <v>149</v>
      </c>
      <c r="B306" s="15" t="s">
        <v>164</v>
      </c>
      <c r="C306" s="18"/>
      <c r="D306" s="16">
        <v>426.44</v>
      </c>
      <c r="E306" s="17"/>
      <c r="F306" s="17">
        <v>31.41</v>
      </c>
      <c r="G306" s="17"/>
      <c r="H306" s="16">
        <v>385.17</v>
      </c>
      <c r="I306" s="17"/>
      <c r="J306" s="17">
        <v>31.41</v>
      </c>
      <c r="K306" s="17"/>
      <c r="L306" s="43">
        <v>338.29</v>
      </c>
      <c r="M306" s="17"/>
      <c r="N306" s="17">
        <v>31.41</v>
      </c>
      <c r="O306" s="17"/>
      <c r="P306" s="19"/>
    </row>
    <row r="307" ht="12" customHeight="1" spans="1:16">
      <c r="A307" s="14"/>
      <c r="B307" s="15"/>
      <c r="C307" s="18">
        <v>25</v>
      </c>
      <c r="D307" s="16"/>
      <c r="E307" s="17">
        <v>10746.5</v>
      </c>
      <c r="F307" s="17"/>
      <c r="G307" s="17">
        <v>859</v>
      </c>
      <c r="H307" s="16"/>
      <c r="I307" s="17">
        <v>9558.69</v>
      </c>
      <c r="J307" s="17"/>
      <c r="K307" s="17">
        <v>859</v>
      </c>
      <c r="L307" s="43"/>
      <c r="M307" s="17">
        <f>(L306+L308)/2*25</f>
        <v>8423.375</v>
      </c>
      <c r="N307" s="17"/>
      <c r="O307" s="17">
        <f>(N306+N308)/2*25</f>
        <v>859</v>
      </c>
      <c r="P307" s="19">
        <f>I307+K307-M307-O307</f>
        <v>1135.315</v>
      </c>
    </row>
    <row r="308" ht="12" customHeight="1" spans="1:16">
      <c r="A308" s="14">
        <v>150</v>
      </c>
      <c r="B308" s="15" t="s">
        <v>165</v>
      </c>
      <c r="C308" s="18"/>
      <c r="D308" s="16">
        <v>433.28</v>
      </c>
      <c r="E308" s="17"/>
      <c r="F308" s="17">
        <v>37.31</v>
      </c>
      <c r="G308" s="17"/>
      <c r="H308" s="16">
        <v>379.52</v>
      </c>
      <c r="I308" s="17"/>
      <c r="J308" s="17">
        <v>37.31</v>
      </c>
      <c r="K308" s="17"/>
      <c r="L308" s="43">
        <v>335.58</v>
      </c>
      <c r="M308" s="17"/>
      <c r="N308" s="17">
        <v>37.31</v>
      </c>
      <c r="O308" s="17"/>
      <c r="P308" s="19"/>
    </row>
    <row r="309" ht="12" customHeight="1" spans="1:16">
      <c r="A309" s="14"/>
      <c r="B309" s="15"/>
      <c r="C309" s="18">
        <v>25</v>
      </c>
      <c r="D309" s="16"/>
      <c r="E309" s="17">
        <v>11603.5</v>
      </c>
      <c r="F309" s="17"/>
      <c r="G309" s="17">
        <v>1006.38</v>
      </c>
      <c r="H309" s="16"/>
      <c r="I309" s="17">
        <v>10077.44</v>
      </c>
      <c r="J309" s="17"/>
      <c r="K309" s="17">
        <v>1006.38</v>
      </c>
      <c r="L309" s="43"/>
      <c r="M309" s="17">
        <f>(L308+L310)/2*25</f>
        <v>8946.625</v>
      </c>
      <c r="N309" s="17"/>
      <c r="O309" s="17">
        <f>(N308+N310)/2*25</f>
        <v>1006.375</v>
      </c>
      <c r="P309" s="19">
        <f>I309+K309-M309-O309</f>
        <v>1130.82</v>
      </c>
    </row>
    <row r="310" ht="12" customHeight="1" spans="1:16">
      <c r="A310" s="14">
        <v>151</v>
      </c>
      <c r="B310" s="15" t="s">
        <v>166</v>
      </c>
      <c r="C310" s="18"/>
      <c r="D310" s="16">
        <v>495</v>
      </c>
      <c r="E310" s="17"/>
      <c r="F310" s="17">
        <v>43.2</v>
      </c>
      <c r="G310" s="17"/>
      <c r="H310" s="16">
        <v>426.67</v>
      </c>
      <c r="I310" s="17"/>
      <c r="J310" s="17">
        <v>43.2</v>
      </c>
      <c r="K310" s="17"/>
      <c r="L310" s="43">
        <v>380.15</v>
      </c>
      <c r="M310" s="17"/>
      <c r="N310" s="17">
        <v>43.2</v>
      </c>
      <c r="O310" s="17"/>
      <c r="P310" s="19"/>
    </row>
    <row r="311" ht="12" customHeight="1" spans="1:16">
      <c r="A311" s="14"/>
      <c r="B311" s="15"/>
      <c r="C311" s="18">
        <v>25</v>
      </c>
      <c r="D311" s="16"/>
      <c r="E311" s="17">
        <v>12729.38</v>
      </c>
      <c r="F311" s="17"/>
      <c r="G311" s="17">
        <v>1117</v>
      </c>
      <c r="H311" s="16"/>
      <c r="I311" s="17">
        <v>10985.81</v>
      </c>
      <c r="J311" s="17"/>
      <c r="K311" s="17">
        <v>1117</v>
      </c>
      <c r="L311" s="43"/>
      <c r="M311" s="17">
        <f>(L310+L312)/2*25</f>
        <v>9782.125</v>
      </c>
      <c r="N311" s="17"/>
      <c r="O311" s="17">
        <f>(N310+N312)/2*25</f>
        <v>1117</v>
      </c>
      <c r="P311" s="19">
        <f>I311+K311-M311-O311</f>
        <v>1203.685</v>
      </c>
    </row>
    <row r="312" ht="12" customHeight="1" spans="1:16">
      <c r="A312" s="14">
        <v>152</v>
      </c>
      <c r="B312" s="15" t="s">
        <v>167</v>
      </c>
      <c r="C312" s="18"/>
      <c r="D312" s="16">
        <v>523.35</v>
      </c>
      <c r="E312" s="17"/>
      <c r="F312" s="17">
        <v>46.16</v>
      </c>
      <c r="G312" s="17"/>
      <c r="H312" s="16">
        <v>452.19</v>
      </c>
      <c r="I312" s="17"/>
      <c r="J312" s="17">
        <v>46.16</v>
      </c>
      <c r="K312" s="17"/>
      <c r="L312" s="43">
        <v>402.42</v>
      </c>
      <c r="M312" s="17"/>
      <c r="N312" s="17">
        <v>46.16</v>
      </c>
      <c r="O312" s="17"/>
      <c r="P312" s="19"/>
    </row>
    <row r="313" ht="12" customHeight="1" spans="1:16">
      <c r="A313" s="14"/>
      <c r="B313" s="15"/>
      <c r="C313" s="18">
        <v>25</v>
      </c>
      <c r="D313" s="16"/>
      <c r="E313" s="17">
        <v>13729.75</v>
      </c>
      <c r="F313" s="17"/>
      <c r="G313" s="17">
        <v>1113.63</v>
      </c>
      <c r="H313" s="16"/>
      <c r="I313" s="17">
        <v>11877.63</v>
      </c>
      <c r="J313" s="17"/>
      <c r="K313" s="17">
        <v>1113.63</v>
      </c>
      <c r="L313" s="43"/>
      <c r="M313" s="17">
        <f>(L312+L314)/2*25</f>
        <v>10760</v>
      </c>
      <c r="N313" s="17"/>
      <c r="O313" s="17">
        <f>(N312+N314)/2*25</f>
        <v>1113.625</v>
      </c>
      <c r="P313" s="19">
        <f>I313+K313-M313-O313</f>
        <v>1117.635</v>
      </c>
    </row>
    <row r="314" ht="12" customHeight="1" spans="1:16">
      <c r="A314" s="14">
        <v>153</v>
      </c>
      <c r="B314" s="15" t="s">
        <v>168</v>
      </c>
      <c r="C314" s="18"/>
      <c r="D314" s="16">
        <v>575.03</v>
      </c>
      <c r="E314" s="17"/>
      <c r="F314" s="17">
        <v>42.93</v>
      </c>
      <c r="G314" s="17"/>
      <c r="H314" s="16">
        <v>498.02</v>
      </c>
      <c r="I314" s="17"/>
      <c r="J314" s="17">
        <v>42.93</v>
      </c>
      <c r="K314" s="17"/>
      <c r="L314" s="43">
        <v>458.38</v>
      </c>
      <c r="M314" s="17"/>
      <c r="N314" s="17">
        <v>42.93</v>
      </c>
      <c r="O314" s="17"/>
      <c r="P314" s="19"/>
    </row>
    <row r="315" ht="12" customHeight="1" spans="1:16">
      <c r="A315" s="14"/>
      <c r="B315" s="15"/>
      <c r="C315" s="18">
        <v>25</v>
      </c>
      <c r="D315" s="16"/>
      <c r="E315" s="17">
        <v>15254.88</v>
      </c>
      <c r="F315" s="17"/>
      <c r="G315" s="17">
        <v>1082</v>
      </c>
      <c r="H315" s="16"/>
      <c r="I315" s="17">
        <v>13365.96</v>
      </c>
      <c r="J315" s="17"/>
      <c r="K315" s="17">
        <v>1082</v>
      </c>
      <c r="L315" s="43"/>
      <c r="M315" s="17">
        <f>(L314+L316)/2*25</f>
        <v>12037</v>
      </c>
      <c r="N315" s="17"/>
      <c r="O315" s="17">
        <f>(N314+N316)/2*25</f>
        <v>1082</v>
      </c>
      <c r="P315" s="19">
        <f>I315+K315-M315-O315</f>
        <v>1328.96</v>
      </c>
    </row>
    <row r="316" ht="12" customHeight="1" spans="1:16">
      <c r="A316" s="14">
        <v>154</v>
      </c>
      <c r="B316" s="15" t="s">
        <v>169</v>
      </c>
      <c r="C316" s="18"/>
      <c r="D316" s="16">
        <v>645.36</v>
      </c>
      <c r="E316" s="17"/>
      <c r="F316" s="17">
        <v>43.63</v>
      </c>
      <c r="G316" s="17"/>
      <c r="H316" s="16">
        <v>571.26</v>
      </c>
      <c r="I316" s="17"/>
      <c r="J316" s="17">
        <v>43.63</v>
      </c>
      <c r="K316" s="17"/>
      <c r="L316" s="43">
        <v>504.58</v>
      </c>
      <c r="M316" s="17"/>
      <c r="N316" s="17">
        <v>43.63</v>
      </c>
      <c r="O316" s="17"/>
      <c r="P316" s="19"/>
    </row>
    <row r="317" ht="12" customHeight="1" spans="1:16">
      <c r="A317" s="14"/>
      <c r="B317" s="15"/>
      <c r="C317" s="18">
        <v>25</v>
      </c>
      <c r="D317" s="16"/>
      <c r="E317" s="17">
        <v>16844.13</v>
      </c>
      <c r="F317" s="17"/>
      <c r="G317" s="17">
        <v>1073.75</v>
      </c>
      <c r="H317" s="16"/>
      <c r="I317" s="17">
        <v>15063.43</v>
      </c>
      <c r="J317" s="17"/>
      <c r="K317" s="17">
        <v>1073.75</v>
      </c>
      <c r="L317" s="43"/>
      <c r="M317" s="17">
        <f>(L316+L318)/2*25</f>
        <v>13541.375</v>
      </c>
      <c r="N317" s="17"/>
      <c r="O317" s="17">
        <f>(N316+N318)/2*25</f>
        <v>1073.75</v>
      </c>
      <c r="P317" s="19">
        <f>I317+K317-M317-O317</f>
        <v>1522.055</v>
      </c>
    </row>
    <row r="318" ht="12" customHeight="1" spans="1:16">
      <c r="A318" s="14">
        <v>155</v>
      </c>
      <c r="B318" s="15" t="s">
        <v>170</v>
      </c>
      <c r="C318" s="18"/>
      <c r="D318" s="16">
        <v>702.17</v>
      </c>
      <c r="E318" s="17"/>
      <c r="F318" s="17">
        <v>42.27</v>
      </c>
      <c r="G318" s="17"/>
      <c r="H318" s="16">
        <v>633.82</v>
      </c>
      <c r="I318" s="17"/>
      <c r="J318" s="17">
        <v>42.27</v>
      </c>
      <c r="K318" s="17"/>
      <c r="L318" s="43">
        <v>578.73</v>
      </c>
      <c r="M318" s="17"/>
      <c r="N318" s="17">
        <v>42.27</v>
      </c>
      <c r="O318" s="17"/>
      <c r="P318" s="19"/>
    </row>
    <row r="319" ht="12" customHeight="1" spans="1:16">
      <c r="A319" s="14"/>
      <c r="B319" s="15"/>
      <c r="C319" s="18">
        <v>25</v>
      </c>
      <c r="D319" s="16"/>
      <c r="E319" s="17">
        <v>16103.25</v>
      </c>
      <c r="F319" s="17"/>
      <c r="G319" s="17">
        <v>907.5</v>
      </c>
      <c r="H319" s="16"/>
      <c r="I319" s="17">
        <v>14357.11</v>
      </c>
      <c r="J319" s="17"/>
      <c r="K319" s="17">
        <v>907.5</v>
      </c>
      <c r="L319" s="43"/>
      <c r="M319" s="17">
        <f>(L318+L320)/2*25</f>
        <v>12957.375</v>
      </c>
      <c r="N319" s="17"/>
      <c r="O319" s="17">
        <f>(N318+N320)/2*25</f>
        <v>907.5</v>
      </c>
      <c r="P319" s="19">
        <f>I319+K319-M319-O319</f>
        <v>1399.735</v>
      </c>
    </row>
    <row r="320" ht="12" customHeight="1" spans="1:16">
      <c r="A320" s="14">
        <v>156</v>
      </c>
      <c r="B320" s="15" t="s">
        <v>171</v>
      </c>
      <c r="C320" s="18"/>
      <c r="D320" s="16">
        <v>586.09</v>
      </c>
      <c r="E320" s="17"/>
      <c r="F320" s="17">
        <v>30.33</v>
      </c>
      <c r="G320" s="17"/>
      <c r="H320" s="16">
        <v>514.75</v>
      </c>
      <c r="I320" s="17"/>
      <c r="J320" s="17">
        <v>30.33</v>
      </c>
      <c r="K320" s="17"/>
      <c r="L320" s="43">
        <v>457.86</v>
      </c>
      <c r="M320" s="17"/>
      <c r="N320" s="17">
        <v>30.33</v>
      </c>
      <c r="O320" s="17"/>
      <c r="P320" s="19"/>
    </row>
    <row r="321" ht="12" customHeight="1" spans="1:16">
      <c r="A321" s="14"/>
      <c r="B321" s="15"/>
      <c r="C321" s="18">
        <v>25</v>
      </c>
      <c r="D321" s="16"/>
      <c r="E321" s="17">
        <v>16080.63</v>
      </c>
      <c r="F321" s="17"/>
      <c r="G321" s="17">
        <v>951.88</v>
      </c>
      <c r="H321" s="16"/>
      <c r="I321" s="17">
        <v>14349.91</v>
      </c>
      <c r="J321" s="17"/>
      <c r="K321" s="17">
        <v>951.88</v>
      </c>
      <c r="L321" s="43"/>
      <c r="M321" s="17">
        <f>(L320+L322)/2*25</f>
        <v>12772.375</v>
      </c>
      <c r="N321" s="17"/>
      <c r="O321" s="17">
        <f>(N320+N322)/2*25</f>
        <v>951.875</v>
      </c>
      <c r="P321" s="19">
        <f>I321+K321-M321-O321</f>
        <v>1577.54</v>
      </c>
    </row>
    <row r="322" ht="12" customHeight="1" spans="1:16">
      <c r="A322" s="14">
        <v>157</v>
      </c>
      <c r="B322" s="15" t="s">
        <v>172</v>
      </c>
      <c r="C322" s="18"/>
      <c r="D322" s="16">
        <v>700.36</v>
      </c>
      <c r="E322" s="17"/>
      <c r="F322" s="17">
        <v>45.82</v>
      </c>
      <c r="G322" s="17"/>
      <c r="H322" s="16">
        <v>633.24</v>
      </c>
      <c r="I322" s="17"/>
      <c r="J322" s="17">
        <v>45.82</v>
      </c>
      <c r="K322" s="17"/>
      <c r="L322" s="43">
        <v>563.93</v>
      </c>
      <c r="M322" s="17"/>
      <c r="N322" s="17">
        <v>45.82</v>
      </c>
      <c r="O322" s="17"/>
      <c r="P322" s="19"/>
    </row>
    <row r="323" ht="12" customHeight="1" spans="1:16">
      <c r="A323" s="14"/>
      <c r="B323" s="15"/>
      <c r="C323" s="18">
        <v>25</v>
      </c>
      <c r="D323" s="16"/>
      <c r="E323" s="17">
        <v>17012.38</v>
      </c>
      <c r="F323" s="17"/>
      <c r="G323" s="17">
        <v>918.5</v>
      </c>
      <c r="H323" s="16"/>
      <c r="I323" s="17">
        <v>15352.91</v>
      </c>
      <c r="J323" s="17"/>
      <c r="K323" s="17">
        <v>918.5</v>
      </c>
      <c r="L323" s="43"/>
      <c r="M323" s="17">
        <f>(L322+L324)/2*25</f>
        <v>13657.075</v>
      </c>
      <c r="N323" s="17"/>
      <c r="O323" s="17">
        <f>(N322+N324)/2*25</f>
        <v>918.5</v>
      </c>
      <c r="P323" s="19">
        <f>I323+K323-M323-O323</f>
        <v>1695.835</v>
      </c>
    </row>
    <row r="324" ht="12" customHeight="1" spans="1:16">
      <c r="A324" s="14">
        <v>158</v>
      </c>
      <c r="B324" s="15" t="s">
        <v>173</v>
      </c>
      <c r="C324" s="18"/>
      <c r="D324" s="16">
        <v>660.63</v>
      </c>
      <c r="E324" s="17"/>
      <c r="F324" s="17">
        <v>27.66</v>
      </c>
      <c r="G324" s="17"/>
      <c r="H324" s="16">
        <v>594.99</v>
      </c>
      <c r="I324" s="17"/>
      <c r="J324" s="17">
        <v>27.66</v>
      </c>
      <c r="K324" s="17"/>
      <c r="L324" s="43">
        <v>528.636</v>
      </c>
      <c r="M324" s="17"/>
      <c r="N324" s="17">
        <v>27.66</v>
      </c>
      <c r="O324" s="17"/>
      <c r="P324" s="19"/>
    </row>
    <row r="325" ht="12" customHeight="1" spans="1:16">
      <c r="A325" s="14"/>
      <c r="B325" s="15"/>
      <c r="C325" s="18">
        <v>25</v>
      </c>
      <c r="D325" s="16"/>
      <c r="E325" s="17">
        <v>16546.5</v>
      </c>
      <c r="F325" s="17"/>
      <c r="G325" s="17">
        <v>781.88</v>
      </c>
      <c r="H325" s="16"/>
      <c r="I325" s="17">
        <v>14907.67</v>
      </c>
      <c r="J325" s="17"/>
      <c r="K325" s="17">
        <v>781.88</v>
      </c>
      <c r="L325" s="43"/>
      <c r="M325" s="17">
        <f>(L324+L326)/2*25</f>
        <v>13061.4</v>
      </c>
      <c r="N325" s="17"/>
      <c r="O325" s="17">
        <f>(N324+N326)/2*25</f>
        <v>781.875</v>
      </c>
      <c r="P325" s="19">
        <f>I325+K325-M325-O325</f>
        <v>1846.275</v>
      </c>
    </row>
    <row r="326" ht="12" customHeight="1" spans="1:16">
      <c r="A326" s="14">
        <v>159</v>
      </c>
      <c r="B326" s="15" t="s">
        <v>174</v>
      </c>
      <c r="C326" s="18"/>
      <c r="D326" s="16">
        <v>663.09</v>
      </c>
      <c r="E326" s="17"/>
      <c r="F326" s="17">
        <v>34.89</v>
      </c>
      <c r="G326" s="17"/>
      <c r="H326" s="16">
        <v>597.62</v>
      </c>
      <c r="I326" s="17"/>
      <c r="J326" s="17">
        <v>34.89</v>
      </c>
      <c r="K326" s="17"/>
      <c r="L326" s="43">
        <v>516.276</v>
      </c>
      <c r="M326" s="17"/>
      <c r="N326" s="17">
        <v>34.89</v>
      </c>
      <c r="O326" s="17"/>
      <c r="P326" s="19"/>
    </row>
    <row r="327" ht="12" customHeight="1" spans="1:16">
      <c r="A327" s="14"/>
      <c r="B327" s="15"/>
      <c r="C327" s="18">
        <v>25</v>
      </c>
      <c r="D327" s="16"/>
      <c r="E327" s="17">
        <v>17370.25</v>
      </c>
      <c r="F327" s="17"/>
      <c r="G327" s="17">
        <v>922</v>
      </c>
      <c r="H327" s="16"/>
      <c r="I327" s="17">
        <v>15557.92</v>
      </c>
      <c r="J327" s="17"/>
      <c r="K327" s="17">
        <v>922</v>
      </c>
      <c r="L327" s="43"/>
      <c r="M327" s="17">
        <f>(L326+L328)/2*25</f>
        <v>13729.05</v>
      </c>
      <c r="N327" s="17"/>
      <c r="O327" s="17">
        <f>(N326+N328)/2*25</f>
        <v>922</v>
      </c>
      <c r="P327" s="19">
        <f>I327+K327-M327-O327</f>
        <v>1828.87</v>
      </c>
    </row>
    <row r="328" ht="12" customHeight="1" spans="1:16">
      <c r="A328" s="14">
        <v>160</v>
      </c>
      <c r="B328" s="15" t="s">
        <v>175</v>
      </c>
      <c r="C328" s="18"/>
      <c r="D328" s="16">
        <v>726.53</v>
      </c>
      <c r="E328" s="17"/>
      <c r="F328" s="17">
        <v>38.87</v>
      </c>
      <c r="G328" s="17"/>
      <c r="H328" s="16">
        <v>647.01</v>
      </c>
      <c r="I328" s="17"/>
      <c r="J328" s="17">
        <v>38.87</v>
      </c>
      <c r="K328" s="17"/>
      <c r="L328" s="43">
        <v>582.048</v>
      </c>
      <c r="M328" s="17"/>
      <c r="N328" s="17">
        <v>38.87</v>
      </c>
      <c r="O328" s="17"/>
      <c r="P328" s="19"/>
    </row>
    <row r="329" ht="12" customHeight="1" spans="1:16">
      <c r="A329" s="14"/>
      <c r="B329" s="15"/>
      <c r="C329" s="18">
        <v>25</v>
      </c>
      <c r="D329" s="16"/>
      <c r="E329" s="17">
        <v>19347.63</v>
      </c>
      <c r="F329" s="17"/>
      <c r="G329" s="17">
        <v>1030.25</v>
      </c>
      <c r="H329" s="16"/>
      <c r="I329" s="17">
        <v>17490.18</v>
      </c>
      <c r="J329" s="17"/>
      <c r="K329" s="17">
        <v>1030.25</v>
      </c>
      <c r="L329" s="43"/>
      <c r="M329" s="17">
        <f>(L328+L330)/2*25</f>
        <v>15622.725</v>
      </c>
      <c r="N329" s="17"/>
      <c r="O329" s="17">
        <f>(N328+N330)/2*25</f>
        <v>1030.25</v>
      </c>
      <c r="P329" s="19">
        <f>I329+K329-M329-O329</f>
        <v>1867.455</v>
      </c>
    </row>
    <row r="330" ht="12" customHeight="1" spans="1:16">
      <c r="A330" s="14">
        <v>161</v>
      </c>
      <c r="B330" s="15" t="s">
        <v>176</v>
      </c>
      <c r="C330" s="18"/>
      <c r="D330" s="16">
        <v>821.28</v>
      </c>
      <c r="E330" s="17"/>
      <c r="F330" s="17">
        <v>43.55</v>
      </c>
      <c r="G330" s="17"/>
      <c r="H330" s="16">
        <v>752.2</v>
      </c>
      <c r="I330" s="17"/>
      <c r="J330" s="17">
        <v>43.55</v>
      </c>
      <c r="K330" s="17"/>
      <c r="L330" s="43">
        <v>667.77</v>
      </c>
      <c r="M330" s="17"/>
      <c r="N330" s="17">
        <v>43.55</v>
      </c>
      <c r="O330" s="17"/>
      <c r="P330" s="19"/>
    </row>
    <row r="331" ht="12" customHeight="1" spans="1:16">
      <c r="A331" s="14"/>
      <c r="B331" s="15"/>
      <c r="C331" s="18">
        <v>25</v>
      </c>
      <c r="D331" s="16"/>
      <c r="E331" s="17">
        <v>20385.5</v>
      </c>
      <c r="F331" s="17"/>
      <c r="G331" s="17">
        <v>1094.63</v>
      </c>
      <c r="H331" s="16"/>
      <c r="I331" s="17">
        <v>18619.94</v>
      </c>
      <c r="J331" s="17"/>
      <c r="K331" s="17">
        <v>1094.63</v>
      </c>
      <c r="L331" s="43"/>
      <c r="M331" s="17">
        <f>(L330+L332)/2*25</f>
        <v>16529.925</v>
      </c>
      <c r="N331" s="17"/>
      <c r="O331" s="17">
        <f>(N330+N332)/2*25</f>
        <v>1094.625</v>
      </c>
      <c r="P331" s="19">
        <f>I331+K331-M331-O331</f>
        <v>2090.02</v>
      </c>
    </row>
    <row r="332" ht="12" customHeight="1" spans="1:16">
      <c r="A332" s="14">
        <v>162</v>
      </c>
      <c r="B332" s="15" t="s">
        <v>177</v>
      </c>
      <c r="C332" s="18"/>
      <c r="D332" s="16">
        <v>809.56</v>
      </c>
      <c r="E332" s="17"/>
      <c r="F332" s="17">
        <v>44.02</v>
      </c>
      <c r="G332" s="17"/>
      <c r="H332" s="16">
        <v>737.39</v>
      </c>
      <c r="I332" s="17"/>
      <c r="J332" s="17">
        <v>44.02</v>
      </c>
      <c r="K332" s="17"/>
      <c r="L332" s="43">
        <v>654.624</v>
      </c>
      <c r="M332" s="17"/>
      <c r="N332" s="17">
        <v>44.02</v>
      </c>
      <c r="O332" s="17"/>
      <c r="P332" s="19"/>
    </row>
    <row r="333" ht="12" customHeight="1" spans="1:16">
      <c r="A333" s="14"/>
      <c r="B333" s="15"/>
      <c r="C333" s="18">
        <v>25</v>
      </c>
      <c r="D333" s="16"/>
      <c r="E333" s="17">
        <v>23232.38</v>
      </c>
      <c r="F333" s="17"/>
      <c r="G333" s="17">
        <v>1822</v>
      </c>
      <c r="H333" s="16"/>
      <c r="I333" s="17">
        <v>21271.19</v>
      </c>
      <c r="J333" s="17"/>
      <c r="K333" s="17">
        <v>1822</v>
      </c>
      <c r="L333" s="43"/>
      <c r="M333" s="17">
        <f>(L332+L334)/2*25</f>
        <v>19033.5</v>
      </c>
      <c r="N333" s="17"/>
      <c r="O333" s="17">
        <f>(N332+N334)/2*25</f>
        <v>1822</v>
      </c>
      <c r="P333" s="19">
        <f>I333+K333-M333-O333</f>
        <v>2237.69</v>
      </c>
    </row>
    <row r="334" ht="12" customHeight="1" spans="1:16">
      <c r="A334" s="14">
        <v>163</v>
      </c>
      <c r="B334" s="15" t="s">
        <v>178</v>
      </c>
      <c r="C334" s="18"/>
      <c r="D334" s="16">
        <v>1049.03</v>
      </c>
      <c r="E334" s="17"/>
      <c r="F334" s="17">
        <v>101.74</v>
      </c>
      <c r="G334" s="17"/>
      <c r="H334" s="16">
        <v>964.3</v>
      </c>
      <c r="I334" s="17"/>
      <c r="J334" s="17">
        <v>101.74</v>
      </c>
      <c r="K334" s="17"/>
      <c r="L334" s="43">
        <v>868.056</v>
      </c>
      <c r="M334" s="17"/>
      <c r="N334" s="17">
        <v>101.74</v>
      </c>
      <c r="O334" s="17"/>
      <c r="P334" s="19"/>
    </row>
    <row r="335" ht="12" customHeight="1" spans="1:16">
      <c r="A335" s="14"/>
      <c r="B335" s="15"/>
      <c r="C335" s="18">
        <v>25</v>
      </c>
      <c r="D335" s="16"/>
      <c r="E335" s="17">
        <v>27213</v>
      </c>
      <c r="F335" s="17"/>
      <c r="G335" s="17">
        <v>2749.38</v>
      </c>
      <c r="H335" s="16"/>
      <c r="I335" s="17">
        <v>25303.66</v>
      </c>
      <c r="J335" s="17"/>
      <c r="K335" s="17">
        <v>2749.38</v>
      </c>
      <c r="L335" s="43"/>
      <c r="M335" s="17">
        <f>(L334+L336)/2*25</f>
        <v>22950.075</v>
      </c>
      <c r="N335" s="17"/>
      <c r="O335" s="17">
        <f>(N334+N336)/2*25</f>
        <v>2749.375</v>
      </c>
      <c r="P335" s="19">
        <f>I335+K335-M335-O335</f>
        <v>2353.59</v>
      </c>
    </row>
    <row r="336" ht="12" customHeight="1" spans="1:16">
      <c r="A336" s="14">
        <v>164</v>
      </c>
      <c r="B336" s="15" t="s">
        <v>179</v>
      </c>
      <c r="C336" s="18"/>
      <c r="D336" s="16">
        <v>1128.01</v>
      </c>
      <c r="E336" s="17"/>
      <c r="F336" s="17">
        <v>118.21</v>
      </c>
      <c r="G336" s="17"/>
      <c r="H336" s="16">
        <v>1059.99</v>
      </c>
      <c r="I336" s="17"/>
      <c r="J336" s="17">
        <v>118.21</v>
      </c>
      <c r="K336" s="17"/>
      <c r="L336" s="43">
        <v>967.95</v>
      </c>
      <c r="M336" s="17"/>
      <c r="N336" s="17">
        <v>118.21</v>
      </c>
      <c r="O336" s="17"/>
      <c r="P336" s="19"/>
    </row>
    <row r="337" ht="12" customHeight="1" spans="1:16">
      <c r="A337" s="14"/>
      <c r="B337" s="15"/>
      <c r="C337" s="18">
        <v>25</v>
      </c>
      <c r="D337" s="16"/>
      <c r="E337" s="17">
        <v>32163.25</v>
      </c>
      <c r="F337" s="17"/>
      <c r="G337" s="17">
        <v>3339.75</v>
      </c>
      <c r="H337" s="16"/>
      <c r="I337" s="17">
        <v>30349.26</v>
      </c>
      <c r="J337" s="17"/>
      <c r="K337" s="17">
        <v>3339.75</v>
      </c>
      <c r="L337" s="43"/>
      <c r="M337" s="17">
        <f>(L336+L338)/2*25</f>
        <v>27709.275</v>
      </c>
      <c r="N337" s="17"/>
      <c r="O337" s="17">
        <f>(N336+N338)/2*25</f>
        <v>3339.75</v>
      </c>
      <c r="P337" s="19">
        <f>I337+K337-M337-O337</f>
        <v>2639.98499999999</v>
      </c>
    </row>
    <row r="338" ht="12" customHeight="1" spans="1:16">
      <c r="A338" s="14">
        <v>165</v>
      </c>
      <c r="B338" s="15" t="s">
        <v>180</v>
      </c>
      <c r="C338" s="18"/>
      <c r="D338" s="16">
        <v>1445.05</v>
      </c>
      <c r="E338" s="17"/>
      <c r="F338" s="17">
        <v>148.97</v>
      </c>
      <c r="G338" s="17"/>
      <c r="H338" s="16">
        <v>1367.95</v>
      </c>
      <c r="I338" s="17"/>
      <c r="J338" s="17">
        <v>148.97</v>
      </c>
      <c r="K338" s="17"/>
      <c r="L338" s="43">
        <v>1248.792</v>
      </c>
      <c r="M338" s="17"/>
      <c r="N338" s="17">
        <v>148.97</v>
      </c>
      <c r="O338" s="17"/>
      <c r="P338" s="19"/>
    </row>
    <row r="339" ht="12" customHeight="1" spans="1:16">
      <c r="A339" s="14"/>
      <c r="B339" s="15"/>
      <c r="C339" s="18">
        <v>25</v>
      </c>
      <c r="D339" s="16"/>
      <c r="E339" s="17">
        <v>36618.63</v>
      </c>
      <c r="F339" s="17"/>
      <c r="G339" s="17">
        <v>3932.25</v>
      </c>
      <c r="H339" s="16"/>
      <c r="I339" s="17">
        <v>34464.47</v>
      </c>
      <c r="J339" s="17"/>
      <c r="K339" s="17">
        <v>3932.25</v>
      </c>
      <c r="L339" s="43"/>
      <c r="M339" s="17">
        <f>(L338+L340)/2*25</f>
        <v>31742.1</v>
      </c>
      <c r="N339" s="17"/>
      <c r="O339" s="17">
        <f>(N338+N340)/2*25</f>
        <v>3932.25</v>
      </c>
      <c r="P339" s="19">
        <f>I339+K339-M339-O339</f>
        <v>2722.37</v>
      </c>
    </row>
    <row r="340" ht="12" customHeight="1" spans="1:16">
      <c r="A340" s="14">
        <v>166</v>
      </c>
      <c r="B340" s="15" t="s">
        <v>181</v>
      </c>
      <c r="C340" s="18"/>
      <c r="D340" s="16">
        <v>1484.44</v>
      </c>
      <c r="E340" s="17"/>
      <c r="F340" s="17">
        <v>165.61</v>
      </c>
      <c r="G340" s="17"/>
      <c r="H340" s="16">
        <v>1389.21</v>
      </c>
      <c r="I340" s="17"/>
      <c r="J340" s="17">
        <v>165.61</v>
      </c>
      <c r="K340" s="17"/>
      <c r="L340" s="43">
        <v>1290.576</v>
      </c>
      <c r="M340" s="17"/>
      <c r="N340" s="17">
        <v>165.61</v>
      </c>
      <c r="O340" s="17"/>
      <c r="P340" s="19"/>
    </row>
    <row r="341" ht="12" customHeight="1" spans="1:16">
      <c r="A341" s="14"/>
      <c r="B341" s="15"/>
      <c r="C341" s="18">
        <v>25</v>
      </c>
      <c r="D341" s="16"/>
      <c r="E341" s="17">
        <v>38579.75</v>
      </c>
      <c r="F341" s="17"/>
      <c r="G341" s="17">
        <v>4439</v>
      </c>
      <c r="H341" s="16"/>
      <c r="I341" s="17">
        <v>36502.15</v>
      </c>
      <c r="J341" s="17"/>
      <c r="K341" s="17">
        <v>4439</v>
      </c>
      <c r="L341" s="43"/>
      <c r="M341" s="17">
        <f>(L340+L342)/2*25</f>
        <v>34026.675</v>
      </c>
      <c r="N341" s="17"/>
      <c r="O341" s="17">
        <f>(N340+N342)/2*25</f>
        <v>4439</v>
      </c>
      <c r="P341" s="19">
        <f>I341+K341-M341-O341</f>
        <v>2475.475</v>
      </c>
    </row>
    <row r="342" ht="12" customHeight="1" spans="1:16">
      <c r="A342" s="14">
        <v>167</v>
      </c>
      <c r="B342" s="15" t="s">
        <v>182</v>
      </c>
      <c r="C342" s="18"/>
      <c r="D342" s="16">
        <v>1601.94</v>
      </c>
      <c r="E342" s="17"/>
      <c r="F342" s="17">
        <v>189.51</v>
      </c>
      <c r="G342" s="17"/>
      <c r="H342" s="16">
        <v>1530.96</v>
      </c>
      <c r="I342" s="17"/>
      <c r="J342" s="17">
        <v>189.51</v>
      </c>
      <c r="K342" s="17"/>
      <c r="L342" s="43">
        <v>1431.558</v>
      </c>
      <c r="M342" s="17"/>
      <c r="N342" s="17">
        <v>189.51</v>
      </c>
      <c r="O342" s="17"/>
      <c r="P342" s="19"/>
    </row>
    <row r="343" ht="12" customHeight="1" spans="1:16">
      <c r="A343" s="14"/>
      <c r="B343" s="15"/>
      <c r="C343" s="18">
        <v>25</v>
      </c>
      <c r="D343" s="16"/>
      <c r="E343" s="17">
        <v>39183.63</v>
      </c>
      <c r="F343" s="17"/>
      <c r="G343" s="17">
        <v>4703.38</v>
      </c>
      <c r="H343" s="16"/>
      <c r="I343" s="17">
        <v>36963.53</v>
      </c>
      <c r="J343" s="17"/>
      <c r="K343" s="17">
        <v>4703.38</v>
      </c>
      <c r="L343" s="43"/>
      <c r="M343" s="17">
        <f>(L342+L344)/2*25</f>
        <v>34833.975</v>
      </c>
      <c r="N343" s="17"/>
      <c r="O343" s="17">
        <f>(N342+N344)/2*25</f>
        <v>4703.375</v>
      </c>
      <c r="P343" s="19">
        <f>I343+K343-M343-O343</f>
        <v>2129.56</v>
      </c>
    </row>
    <row r="344" ht="12" customHeight="1" spans="1:16">
      <c r="A344" s="14">
        <v>168</v>
      </c>
      <c r="B344" s="15" t="s">
        <v>183</v>
      </c>
      <c r="C344" s="18"/>
      <c r="D344" s="16">
        <v>1532.75</v>
      </c>
      <c r="E344" s="17"/>
      <c r="F344" s="17">
        <v>186.76</v>
      </c>
      <c r="G344" s="17"/>
      <c r="H344" s="16">
        <v>1426.12</v>
      </c>
      <c r="I344" s="17"/>
      <c r="J344" s="17">
        <v>186.76</v>
      </c>
      <c r="K344" s="17"/>
      <c r="L344" s="43">
        <v>1355.16</v>
      </c>
      <c r="M344" s="17"/>
      <c r="N344" s="17">
        <v>186.76</v>
      </c>
      <c r="O344" s="17"/>
      <c r="P344" s="19"/>
    </row>
    <row r="345" ht="12" customHeight="1" spans="1:16">
      <c r="A345" s="14"/>
      <c r="B345" s="15"/>
      <c r="C345" s="18">
        <v>25</v>
      </c>
      <c r="D345" s="16"/>
      <c r="E345" s="17">
        <v>35677.63</v>
      </c>
      <c r="F345" s="17"/>
      <c r="G345" s="17">
        <v>4764.25</v>
      </c>
      <c r="H345" s="16"/>
      <c r="I345" s="17">
        <v>33447.33</v>
      </c>
      <c r="J345" s="17"/>
      <c r="K345" s="17">
        <v>4764.25</v>
      </c>
      <c r="L345" s="43"/>
      <c r="M345" s="17">
        <f>(L344+L346)/2*25</f>
        <v>31619.925</v>
      </c>
      <c r="N345" s="17"/>
      <c r="O345" s="17">
        <f>(N344+N346)/2*25</f>
        <v>4764.25</v>
      </c>
      <c r="P345" s="19">
        <f>I345+K345-M345-O345</f>
        <v>1827.405</v>
      </c>
    </row>
    <row r="346" ht="12" customHeight="1" spans="1:16">
      <c r="A346" s="14">
        <v>169</v>
      </c>
      <c r="B346" s="15" t="s">
        <v>184</v>
      </c>
      <c r="C346" s="18"/>
      <c r="D346" s="16">
        <v>1321.46</v>
      </c>
      <c r="E346" s="17"/>
      <c r="F346" s="17">
        <v>194.38</v>
      </c>
      <c r="G346" s="17"/>
      <c r="H346" s="16">
        <v>1249.67</v>
      </c>
      <c r="I346" s="17"/>
      <c r="J346" s="17">
        <v>194.38</v>
      </c>
      <c r="K346" s="17"/>
      <c r="L346" s="43">
        <v>1174.434</v>
      </c>
      <c r="M346" s="17"/>
      <c r="N346" s="17">
        <v>194.38</v>
      </c>
      <c r="O346" s="17"/>
      <c r="P346" s="19"/>
    </row>
    <row r="347" ht="12" customHeight="1" spans="1:16">
      <c r="A347" s="14"/>
      <c r="B347" s="15"/>
      <c r="C347" s="18">
        <v>25</v>
      </c>
      <c r="D347" s="16"/>
      <c r="E347" s="17">
        <v>33554.88</v>
      </c>
      <c r="F347" s="17"/>
      <c r="G347" s="17">
        <v>4935.63</v>
      </c>
      <c r="H347" s="16"/>
      <c r="I347" s="17">
        <v>31520.46</v>
      </c>
      <c r="J347" s="17"/>
      <c r="K347" s="17">
        <v>4935.63</v>
      </c>
      <c r="L347" s="43"/>
      <c r="M347" s="17">
        <f>(L346+L348)/2*25</f>
        <v>30411.225</v>
      </c>
      <c r="N347" s="17"/>
      <c r="O347" s="17">
        <f>(N346+N348)/2*25</f>
        <v>4935.625</v>
      </c>
      <c r="P347" s="19">
        <f>I347+K347-M347-O347</f>
        <v>1109.23999999999</v>
      </c>
    </row>
    <row r="348" ht="12" customHeight="1" spans="1:16">
      <c r="A348" s="14">
        <v>170</v>
      </c>
      <c r="B348" s="15" t="s">
        <v>185</v>
      </c>
      <c r="C348" s="18"/>
      <c r="D348" s="16">
        <v>1362.93</v>
      </c>
      <c r="E348" s="17"/>
      <c r="F348" s="17">
        <v>200.47</v>
      </c>
      <c r="G348" s="17"/>
      <c r="H348" s="16">
        <v>1271.97</v>
      </c>
      <c r="I348" s="17"/>
      <c r="J348" s="17">
        <v>200.47</v>
      </c>
      <c r="K348" s="17"/>
      <c r="L348" s="43">
        <v>1258.464</v>
      </c>
      <c r="M348" s="17"/>
      <c r="N348" s="17">
        <v>200.47</v>
      </c>
      <c r="O348" s="17"/>
      <c r="P348" s="19"/>
    </row>
    <row r="349" ht="12" customHeight="1" spans="1:16">
      <c r="A349" s="14"/>
      <c r="B349" s="15"/>
      <c r="C349" s="18">
        <v>25</v>
      </c>
      <c r="D349" s="16"/>
      <c r="E349" s="17">
        <v>36592.25</v>
      </c>
      <c r="F349" s="17"/>
      <c r="G349" s="17">
        <v>4879.63</v>
      </c>
      <c r="H349" s="16"/>
      <c r="I349" s="17">
        <v>34389.23</v>
      </c>
      <c r="J349" s="17"/>
      <c r="K349" s="17">
        <v>4879.63</v>
      </c>
      <c r="L349" s="43"/>
      <c r="M349" s="17">
        <f>(L348+L350)/2*25</f>
        <v>33298.7775</v>
      </c>
      <c r="N349" s="17"/>
      <c r="O349" s="17">
        <f>(N348+N350)/2*25</f>
        <v>4879.625</v>
      </c>
      <c r="P349" s="19">
        <f>I349+K349-M349-O349</f>
        <v>1090.4575</v>
      </c>
    </row>
    <row r="350" ht="12" customHeight="1" spans="1:16">
      <c r="A350" s="14">
        <v>171</v>
      </c>
      <c r="B350" s="15" t="s">
        <v>186</v>
      </c>
      <c r="C350" s="18"/>
      <c r="D350" s="16">
        <v>1564.45</v>
      </c>
      <c r="E350" s="17"/>
      <c r="F350" s="17">
        <v>189.9</v>
      </c>
      <c r="G350" s="17"/>
      <c r="H350" s="16">
        <v>1479.17</v>
      </c>
      <c r="I350" s="17"/>
      <c r="J350" s="17">
        <v>189.9</v>
      </c>
      <c r="K350" s="17"/>
      <c r="L350" s="43">
        <v>1405.4382</v>
      </c>
      <c r="M350" s="17"/>
      <c r="N350" s="17">
        <v>189.9</v>
      </c>
      <c r="O350" s="17"/>
      <c r="P350" s="19"/>
    </row>
    <row r="351" ht="12" customHeight="1" spans="1:16">
      <c r="A351" s="14"/>
      <c r="B351" s="15"/>
      <c r="C351" s="18">
        <v>25</v>
      </c>
      <c r="D351" s="16"/>
      <c r="E351" s="17">
        <v>38505.88</v>
      </c>
      <c r="F351" s="17"/>
      <c r="G351" s="17">
        <v>4595.63</v>
      </c>
      <c r="H351" s="16"/>
      <c r="I351" s="17">
        <v>36556.35</v>
      </c>
      <c r="J351" s="17"/>
      <c r="K351" s="17">
        <v>4595.63</v>
      </c>
      <c r="L351" s="43"/>
      <c r="M351" s="17">
        <f>(L350+L352)/2*25</f>
        <v>34841.4525</v>
      </c>
      <c r="N351" s="17"/>
      <c r="O351" s="17">
        <f>(N350+N352)/2*25</f>
        <v>4595.625</v>
      </c>
      <c r="P351" s="19">
        <f>I351+K351-M351-O351</f>
        <v>1714.9025</v>
      </c>
    </row>
    <row r="352" ht="12" customHeight="1" spans="1:16">
      <c r="A352" s="14">
        <v>172</v>
      </c>
      <c r="B352" s="15" t="s">
        <v>187</v>
      </c>
      <c r="C352" s="18"/>
      <c r="D352" s="16">
        <v>1516.02</v>
      </c>
      <c r="E352" s="17"/>
      <c r="F352" s="17">
        <v>177.75</v>
      </c>
      <c r="G352" s="17"/>
      <c r="H352" s="16">
        <v>1445.34</v>
      </c>
      <c r="I352" s="17"/>
      <c r="J352" s="17">
        <v>177.75</v>
      </c>
      <c r="K352" s="17"/>
      <c r="L352" s="43">
        <v>1381.878</v>
      </c>
      <c r="M352" s="17"/>
      <c r="N352" s="17">
        <v>177.75</v>
      </c>
      <c r="O352" s="17"/>
      <c r="P352" s="19"/>
    </row>
    <row r="353" ht="12" customHeight="1" spans="1:16">
      <c r="A353" s="14"/>
      <c r="B353" s="15"/>
      <c r="C353" s="18">
        <v>25</v>
      </c>
      <c r="D353" s="16"/>
      <c r="E353" s="17">
        <v>37751.25</v>
      </c>
      <c r="F353" s="17"/>
      <c r="G353" s="17">
        <v>4366.88</v>
      </c>
      <c r="H353" s="16"/>
      <c r="I353" s="17">
        <v>35906.76</v>
      </c>
      <c r="J353" s="17"/>
      <c r="K353" s="17">
        <v>4366.88</v>
      </c>
      <c r="L353" s="43"/>
      <c r="M353" s="17">
        <f>(L352+L354)/2*25</f>
        <v>34398.8175</v>
      </c>
      <c r="N353" s="17"/>
      <c r="O353" s="17">
        <f>(N352+N354)/2*25</f>
        <v>4366.875</v>
      </c>
      <c r="P353" s="19">
        <f>I353+K353-M353-O353</f>
        <v>1507.9475</v>
      </c>
    </row>
    <row r="354" ht="12" customHeight="1" spans="1:16">
      <c r="A354" s="14">
        <v>173</v>
      </c>
      <c r="B354" s="15" t="s">
        <v>188</v>
      </c>
      <c r="C354" s="18"/>
      <c r="D354" s="16">
        <v>1504.08</v>
      </c>
      <c r="E354" s="17"/>
      <c r="F354" s="17">
        <v>171.6</v>
      </c>
      <c r="G354" s="17"/>
      <c r="H354" s="16">
        <v>1427.2</v>
      </c>
      <c r="I354" s="17"/>
      <c r="J354" s="17">
        <v>171.6</v>
      </c>
      <c r="K354" s="17"/>
      <c r="L354" s="43">
        <v>1370.0274</v>
      </c>
      <c r="M354" s="17"/>
      <c r="N354" s="17">
        <v>171.6</v>
      </c>
      <c r="O354" s="17"/>
      <c r="P354" s="19"/>
    </row>
    <row r="355" ht="12" customHeight="1" spans="1:16">
      <c r="A355" s="14"/>
      <c r="B355" s="15"/>
      <c r="C355" s="18">
        <v>25</v>
      </c>
      <c r="D355" s="16"/>
      <c r="E355" s="17">
        <v>37507</v>
      </c>
      <c r="F355" s="17"/>
      <c r="G355" s="17">
        <v>3983.5</v>
      </c>
      <c r="H355" s="16"/>
      <c r="I355" s="17">
        <v>35575.2</v>
      </c>
      <c r="J355" s="17"/>
      <c r="K355" s="17">
        <v>3983.5</v>
      </c>
      <c r="L355" s="43"/>
      <c r="M355" s="17">
        <f>(L354+L356)/2*25</f>
        <v>34121.6475</v>
      </c>
      <c r="N355" s="17"/>
      <c r="O355" s="17">
        <f>(N354+N356)/2*25</f>
        <v>3983.5</v>
      </c>
      <c r="P355" s="19">
        <f>I355+K355-M355-O355</f>
        <v>1453.5525</v>
      </c>
    </row>
    <row r="356" ht="12" customHeight="1" spans="1:16">
      <c r="A356" s="14">
        <v>174</v>
      </c>
      <c r="B356" s="15" t="s">
        <v>189</v>
      </c>
      <c r="C356" s="18"/>
      <c r="D356" s="16">
        <v>1496.48</v>
      </c>
      <c r="E356" s="17"/>
      <c r="F356" s="17">
        <v>147.08</v>
      </c>
      <c r="G356" s="17"/>
      <c r="H356" s="16">
        <v>1418.81</v>
      </c>
      <c r="I356" s="17"/>
      <c r="J356" s="17">
        <v>147.08</v>
      </c>
      <c r="K356" s="17"/>
      <c r="L356" s="43">
        <v>1359.7044</v>
      </c>
      <c r="M356" s="17"/>
      <c r="N356" s="17">
        <v>147.08</v>
      </c>
      <c r="O356" s="17"/>
      <c r="P356" s="19"/>
    </row>
    <row r="357" ht="12" customHeight="1" spans="1:16">
      <c r="A357" s="14"/>
      <c r="B357" s="15"/>
      <c r="C357" s="18">
        <v>25</v>
      </c>
      <c r="D357" s="16"/>
      <c r="E357" s="17">
        <v>36861.75</v>
      </c>
      <c r="F357" s="17"/>
      <c r="G357" s="17">
        <v>3379.75</v>
      </c>
      <c r="H357" s="16"/>
      <c r="I357" s="17">
        <v>34862.57</v>
      </c>
      <c r="J357" s="17"/>
      <c r="K357" s="17">
        <v>3379.75</v>
      </c>
      <c r="L357" s="43"/>
      <c r="M357" s="17">
        <f>(L356+L358)/2*25</f>
        <v>33215.2275</v>
      </c>
      <c r="N357" s="17"/>
      <c r="O357" s="17">
        <f>(N356+N358)/2*25</f>
        <v>3379.75</v>
      </c>
      <c r="P357" s="19">
        <f>I357+K357-M357-O357</f>
        <v>1647.3425</v>
      </c>
    </row>
    <row r="358" ht="12" customHeight="1" spans="1:16">
      <c r="A358" s="14">
        <v>175</v>
      </c>
      <c r="B358" s="15" t="s">
        <v>190</v>
      </c>
      <c r="C358" s="18"/>
      <c r="D358" s="16">
        <v>1452.46</v>
      </c>
      <c r="E358" s="17"/>
      <c r="F358" s="17">
        <v>123.3</v>
      </c>
      <c r="G358" s="17"/>
      <c r="H358" s="16">
        <v>1370.19</v>
      </c>
      <c r="I358" s="17"/>
      <c r="J358" s="17">
        <v>123.3</v>
      </c>
      <c r="K358" s="17"/>
      <c r="L358" s="43">
        <v>1297.5138</v>
      </c>
      <c r="M358" s="17"/>
      <c r="N358" s="17">
        <v>123.3</v>
      </c>
      <c r="O358" s="17"/>
      <c r="P358" s="19"/>
    </row>
    <row r="359" ht="12" customHeight="1" spans="1:16">
      <c r="A359" s="14"/>
      <c r="B359" s="15"/>
      <c r="C359" s="18">
        <v>25</v>
      </c>
      <c r="D359" s="16"/>
      <c r="E359" s="17">
        <v>34098.25</v>
      </c>
      <c r="F359" s="17"/>
      <c r="G359" s="17">
        <v>3001.88</v>
      </c>
      <c r="H359" s="16"/>
      <c r="I359" s="17">
        <v>32323.12</v>
      </c>
      <c r="J359" s="17"/>
      <c r="K359" s="17">
        <v>3001.88</v>
      </c>
      <c r="L359" s="43"/>
      <c r="M359" s="17">
        <f>(L358+L360)/2*25</f>
        <v>30556.4175</v>
      </c>
      <c r="N359" s="17"/>
      <c r="O359" s="17">
        <f>(N358+N360)/2*25</f>
        <v>3001.875</v>
      </c>
      <c r="P359" s="19">
        <f>I359+K359-M359-O359</f>
        <v>1766.7075</v>
      </c>
    </row>
    <row r="360" ht="12" customHeight="1" spans="1:16">
      <c r="A360" s="14">
        <v>176</v>
      </c>
      <c r="B360" s="15" t="s">
        <v>191</v>
      </c>
      <c r="C360" s="18"/>
      <c r="D360" s="16">
        <v>1275.4</v>
      </c>
      <c r="E360" s="17"/>
      <c r="F360" s="17">
        <v>116.85</v>
      </c>
      <c r="G360" s="17"/>
      <c r="H360" s="16">
        <v>1215.66</v>
      </c>
      <c r="I360" s="17"/>
      <c r="J360" s="17">
        <v>116.85</v>
      </c>
      <c r="K360" s="17"/>
      <c r="L360" s="43">
        <v>1146.9996</v>
      </c>
      <c r="M360" s="17"/>
      <c r="N360" s="17">
        <v>116.85</v>
      </c>
      <c r="O360" s="17"/>
      <c r="P360" s="19"/>
    </row>
    <row r="361" ht="12" customHeight="1" spans="1:16">
      <c r="A361" s="14"/>
      <c r="B361" s="15"/>
      <c r="C361" s="18">
        <v>25</v>
      </c>
      <c r="D361" s="16"/>
      <c r="E361" s="17">
        <v>30492.5</v>
      </c>
      <c r="F361" s="17"/>
      <c r="G361" s="17">
        <v>2596</v>
      </c>
      <c r="H361" s="16"/>
      <c r="I361" s="17">
        <v>28889.21</v>
      </c>
      <c r="J361" s="17"/>
      <c r="K361" s="17">
        <v>2596</v>
      </c>
      <c r="L361" s="43"/>
      <c r="M361" s="17">
        <f>(L360+L362)/2*25</f>
        <v>27063.945</v>
      </c>
      <c r="N361" s="17"/>
      <c r="O361" s="17">
        <f>(N360+N362)/2*25</f>
        <v>2596</v>
      </c>
      <c r="P361" s="19">
        <f>I361+K361-M361-O361</f>
        <v>1825.265</v>
      </c>
    </row>
    <row r="362" ht="12" customHeight="1" spans="1:16">
      <c r="A362" s="14">
        <v>177</v>
      </c>
      <c r="B362" s="15" t="s">
        <v>192</v>
      </c>
      <c r="C362" s="18"/>
      <c r="D362" s="16">
        <v>1164</v>
      </c>
      <c r="E362" s="17"/>
      <c r="F362" s="17">
        <v>90.83</v>
      </c>
      <c r="G362" s="17"/>
      <c r="H362" s="16">
        <v>1095.48</v>
      </c>
      <c r="I362" s="17"/>
      <c r="J362" s="17">
        <v>90.83</v>
      </c>
      <c r="K362" s="17"/>
      <c r="L362" s="43">
        <v>1018.116</v>
      </c>
      <c r="M362" s="17"/>
      <c r="N362" s="17">
        <v>90.83</v>
      </c>
      <c r="O362" s="17"/>
      <c r="P362" s="19"/>
    </row>
    <row r="363" ht="12" customHeight="1" spans="1:16">
      <c r="A363" s="14"/>
      <c r="B363" s="15"/>
      <c r="C363" s="23">
        <v>25</v>
      </c>
      <c r="D363" s="16"/>
      <c r="E363" s="24">
        <v>28025.5</v>
      </c>
      <c r="F363" s="17"/>
      <c r="G363" s="24">
        <v>2037.5</v>
      </c>
      <c r="H363" s="16"/>
      <c r="I363" s="24">
        <v>28025.5</v>
      </c>
      <c r="J363" s="17"/>
      <c r="K363" s="24">
        <v>2037.5</v>
      </c>
      <c r="L363" s="43"/>
      <c r="M363" s="17">
        <f>(L362+L364)/2*25</f>
        <v>25497.945</v>
      </c>
      <c r="N363" s="17"/>
      <c r="O363" s="17">
        <f>(N362+N364)/2*25</f>
        <v>2037.5</v>
      </c>
      <c r="P363" s="19">
        <f>I363+K363-M363-O363</f>
        <v>2527.555</v>
      </c>
    </row>
    <row r="364" ht="12" customHeight="1" spans="1:16">
      <c r="A364" s="14">
        <v>178</v>
      </c>
      <c r="B364" s="15" t="s">
        <v>193</v>
      </c>
      <c r="C364" s="25"/>
      <c r="D364" s="16">
        <v>1078.04</v>
      </c>
      <c r="E364" s="26"/>
      <c r="F364" s="17">
        <v>72.17</v>
      </c>
      <c r="G364" s="26"/>
      <c r="H364" s="16">
        <v>1078.04</v>
      </c>
      <c r="I364" s="26"/>
      <c r="J364" s="17">
        <v>72.17</v>
      </c>
      <c r="K364" s="26"/>
      <c r="L364" s="43">
        <v>1021.7196</v>
      </c>
      <c r="M364" s="17"/>
      <c r="N364" s="17">
        <v>72.17</v>
      </c>
      <c r="O364" s="17"/>
      <c r="P364" s="19"/>
    </row>
    <row r="365" ht="12" customHeight="1" spans="1:16">
      <c r="A365" s="14"/>
      <c r="B365" s="15"/>
      <c r="C365" s="18">
        <v>25</v>
      </c>
      <c r="D365" s="16"/>
      <c r="E365" s="17">
        <v>25935</v>
      </c>
      <c r="F365" s="17"/>
      <c r="G365" s="17">
        <v>1434.75</v>
      </c>
      <c r="H365" s="16"/>
      <c r="I365" s="17">
        <v>25935</v>
      </c>
      <c r="J365" s="17"/>
      <c r="K365" s="17">
        <v>1434.75</v>
      </c>
      <c r="L365" s="43"/>
      <c r="M365" s="17">
        <f>(L364+L366)/2*25</f>
        <v>24422.4375</v>
      </c>
      <c r="N365" s="17"/>
      <c r="O365" s="17">
        <f>(N364+N366)/2*25</f>
        <v>1434.75</v>
      </c>
      <c r="P365" s="19">
        <f>I365+K365-M365-O365</f>
        <v>1512.5625</v>
      </c>
    </row>
    <row r="366" ht="12" customHeight="1" spans="1:16">
      <c r="A366" s="14">
        <v>179</v>
      </c>
      <c r="B366" s="15" t="s">
        <v>194</v>
      </c>
      <c r="C366" s="18"/>
      <c r="D366" s="16">
        <v>996.76</v>
      </c>
      <c r="E366" s="17"/>
      <c r="F366" s="17">
        <v>42.61</v>
      </c>
      <c r="G366" s="17"/>
      <c r="H366" s="16">
        <v>996.76</v>
      </c>
      <c r="I366" s="17"/>
      <c r="J366" s="17">
        <v>42.61</v>
      </c>
      <c r="K366" s="17"/>
      <c r="L366" s="43">
        <v>932.0754</v>
      </c>
      <c r="M366" s="17"/>
      <c r="N366" s="17">
        <v>42.61</v>
      </c>
      <c r="O366" s="17"/>
      <c r="P366" s="19"/>
    </row>
    <row r="367" ht="12" customHeight="1" spans="1:16">
      <c r="A367" s="14"/>
      <c r="B367" s="15"/>
      <c r="C367" s="18">
        <v>25</v>
      </c>
      <c r="D367" s="16"/>
      <c r="E367" s="17">
        <v>25031.63</v>
      </c>
      <c r="F367" s="17"/>
      <c r="G367" s="17">
        <v>1121.88</v>
      </c>
      <c r="H367" s="16"/>
      <c r="I367" s="17">
        <v>25031.63</v>
      </c>
      <c r="J367" s="17"/>
      <c r="K367" s="17">
        <v>1121.88</v>
      </c>
      <c r="L367" s="43"/>
      <c r="M367" s="17">
        <f>(L366+L368)/2*25</f>
        <v>23607.675</v>
      </c>
      <c r="N367" s="17"/>
      <c r="O367" s="17">
        <f>(N366+N368)/2*25</f>
        <v>1121.875</v>
      </c>
      <c r="P367" s="19">
        <f>I367+K367-M367-O367</f>
        <v>1423.96</v>
      </c>
    </row>
    <row r="368" ht="12" customHeight="1" spans="1:16">
      <c r="A368" s="14">
        <v>180</v>
      </c>
      <c r="B368" s="15" t="s">
        <v>195</v>
      </c>
      <c r="C368" s="18"/>
      <c r="D368" s="16">
        <v>1005.77</v>
      </c>
      <c r="E368" s="17"/>
      <c r="F368" s="17">
        <v>47.14</v>
      </c>
      <c r="G368" s="17"/>
      <c r="H368" s="16">
        <v>1005.77</v>
      </c>
      <c r="I368" s="17"/>
      <c r="J368" s="17">
        <v>47.14</v>
      </c>
      <c r="K368" s="17"/>
      <c r="L368" s="43">
        <v>956.5386</v>
      </c>
      <c r="M368" s="17"/>
      <c r="N368" s="17">
        <v>47.14</v>
      </c>
      <c r="O368" s="17"/>
      <c r="P368" s="19"/>
    </row>
    <row r="369" ht="12" customHeight="1" spans="1:16">
      <c r="A369" s="14"/>
      <c r="B369" s="15"/>
      <c r="C369" s="23">
        <v>25</v>
      </c>
      <c r="D369" s="16"/>
      <c r="E369" s="17">
        <v>27497.25</v>
      </c>
      <c r="F369" s="17"/>
      <c r="G369" s="17">
        <v>1241.88</v>
      </c>
      <c r="H369" s="16"/>
      <c r="I369" s="17">
        <v>27497.25</v>
      </c>
      <c r="J369" s="17"/>
      <c r="K369" s="17">
        <v>1241.88</v>
      </c>
      <c r="L369" s="43"/>
      <c r="M369" s="17">
        <f>(L368+L370)/2*25</f>
        <v>26003.145</v>
      </c>
      <c r="N369" s="17"/>
      <c r="O369" s="17">
        <f>(N368+N370)/2*25</f>
        <v>1241.875</v>
      </c>
      <c r="P369" s="19">
        <f>I369+K369-M369-O369</f>
        <v>1494.11</v>
      </c>
    </row>
    <row r="370" ht="12" customHeight="1" spans="1:16">
      <c r="A370" s="14">
        <v>181</v>
      </c>
      <c r="B370" s="15" t="s">
        <v>196</v>
      </c>
      <c r="C370" s="25"/>
      <c r="D370" s="16">
        <v>1194.01</v>
      </c>
      <c r="E370" s="17"/>
      <c r="F370" s="17">
        <v>52.21</v>
      </c>
      <c r="G370" s="17"/>
      <c r="H370" s="16">
        <v>1194.01</v>
      </c>
      <c r="I370" s="17"/>
      <c r="J370" s="17">
        <v>52.21</v>
      </c>
      <c r="K370" s="17"/>
      <c r="L370" s="43">
        <v>1123.713</v>
      </c>
      <c r="M370" s="17"/>
      <c r="N370" s="17">
        <v>52.21</v>
      </c>
      <c r="O370" s="17"/>
      <c r="P370" s="19"/>
    </row>
    <row r="371" ht="12" customHeight="1" spans="1:16">
      <c r="A371" s="14"/>
      <c r="B371" s="15"/>
      <c r="C371" s="18">
        <v>25</v>
      </c>
      <c r="D371" s="16"/>
      <c r="E371" s="17">
        <v>29017</v>
      </c>
      <c r="F371" s="17"/>
      <c r="G371" s="17">
        <v>1464.63</v>
      </c>
      <c r="H371" s="16"/>
      <c r="I371" s="17">
        <v>29017</v>
      </c>
      <c r="J371" s="17"/>
      <c r="K371" s="17">
        <v>1464.63</v>
      </c>
      <c r="L371" s="43"/>
      <c r="M371" s="17">
        <f>(L370+L372)/2*25</f>
        <v>27046.35</v>
      </c>
      <c r="N371" s="17"/>
      <c r="O371" s="17">
        <f>(N370+N372)/2*25</f>
        <v>1464.625</v>
      </c>
      <c r="P371" s="19">
        <f>I371+K371-M371-O371</f>
        <v>1970.65500000001</v>
      </c>
    </row>
    <row r="372" ht="12" customHeight="1" spans="1:16">
      <c r="A372" s="14">
        <v>182</v>
      </c>
      <c r="B372" s="15" t="s">
        <v>197</v>
      </c>
      <c r="C372" s="18"/>
      <c r="D372" s="16">
        <v>1127.35</v>
      </c>
      <c r="E372" s="17"/>
      <c r="F372" s="17">
        <v>64.96</v>
      </c>
      <c r="G372" s="17"/>
      <c r="H372" s="16">
        <v>1127.35</v>
      </c>
      <c r="I372" s="17"/>
      <c r="J372" s="17">
        <v>64.96</v>
      </c>
      <c r="K372" s="17"/>
      <c r="L372" s="43">
        <v>1039.995</v>
      </c>
      <c r="M372" s="17"/>
      <c r="N372" s="17">
        <v>64.96</v>
      </c>
      <c r="O372" s="17"/>
      <c r="P372" s="19"/>
    </row>
    <row r="373" ht="12" customHeight="1" spans="1:16">
      <c r="A373" s="14"/>
      <c r="B373" s="15"/>
      <c r="C373" s="18">
        <v>25</v>
      </c>
      <c r="D373" s="16"/>
      <c r="E373" s="17">
        <v>27627.13</v>
      </c>
      <c r="F373" s="17"/>
      <c r="G373" s="17">
        <v>1607.63</v>
      </c>
      <c r="H373" s="16"/>
      <c r="I373" s="17">
        <v>27627.13</v>
      </c>
      <c r="J373" s="17"/>
      <c r="K373" s="17">
        <v>1607.63</v>
      </c>
      <c r="L373" s="43"/>
      <c r="M373" s="17">
        <f>(L372+L374)/2*25</f>
        <v>25455.9825</v>
      </c>
      <c r="N373" s="17"/>
      <c r="O373" s="17">
        <f>(N372+N374)/2*25</f>
        <v>1607.625</v>
      </c>
      <c r="P373" s="19">
        <f>I373+K373-M373-O373</f>
        <v>2171.1525</v>
      </c>
    </row>
    <row r="374" ht="12" customHeight="1" spans="1:16">
      <c r="A374" s="14">
        <v>183</v>
      </c>
      <c r="B374" s="15" t="s">
        <v>198</v>
      </c>
      <c r="C374" s="18"/>
      <c r="D374" s="16">
        <v>1082.82</v>
      </c>
      <c r="E374" s="17"/>
      <c r="F374" s="17">
        <v>63.65</v>
      </c>
      <c r="G374" s="17"/>
      <c r="H374" s="16">
        <v>1082.82</v>
      </c>
      <c r="I374" s="17"/>
      <c r="J374" s="17">
        <v>63.65</v>
      </c>
      <c r="K374" s="17"/>
      <c r="L374" s="43">
        <v>996.4836</v>
      </c>
      <c r="M374" s="17"/>
      <c r="N374" s="17">
        <v>63.65</v>
      </c>
      <c r="O374" s="17"/>
      <c r="P374" s="19"/>
    </row>
    <row r="375" ht="12" customHeight="1" spans="1:16">
      <c r="A375" s="14"/>
      <c r="B375" s="15"/>
      <c r="C375" s="23">
        <v>25</v>
      </c>
      <c r="D375" s="16"/>
      <c r="E375" s="17">
        <v>25859.25</v>
      </c>
      <c r="F375" s="17"/>
      <c r="G375" s="17">
        <v>1691.88</v>
      </c>
      <c r="H375" s="16"/>
      <c r="I375" s="17">
        <v>25859.25</v>
      </c>
      <c r="J375" s="17"/>
      <c r="K375" s="17">
        <v>1691.88</v>
      </c>
      <c r="L375" s="43"/>
      <c r="M375" s="17">
        <f>(L374+L376)/2*25</f>
        <v>23755.0875</v>
      </c>
      <c r="N375" s="17"/>
      <c r="O375" s="17">
        <f>(N374+N376)/2*25</f>
        <v>1691.875</v>
      </c>
      <c r="P375" s="19">
        <f>I375+K375-M375-O375</f>
        <v>2104.1675</v>
      </c>
    </row>
    <row r="376" ht="12" customHeight="1" spans="1:16">
      <c r="A376" s="14">
        <v>184</v>
      </c>
      <c r="B376" s="15" t="s">
        <v>199</v>
      </c>
      <c r="C376" s="25"/>
      <c r="D376" s="16">
        <v>985.92</v>
      </c>
      <c r="E376" s="17"/>
      <c r="F376" s="17">
        <v>71.7</v>
      </c>
      <c r="G376" s="17"/>
      <c r="H376" s="16">
        <v>985.92</v>
      </c>
      <c r="I376" s="17"/>
      <c r="J376" s="17">
        <v>71.7</v>
      </c>
      <c r="K376" s="17"/>
      <c r="L376" s="43">
        <v>903.9234</v>
      </c>
      <c r="M376" s="17"/>
      <c r="N376" s="17">
        <v>71.7</v>
      </c>
      <c r="O376" s="17"/>
      <c r="P376" s="19"/>
    </row>
    <row r="377" ht="12" customHeight="1" spans="1:16">
      <c r="A377" s="14"/>
      <c r="B377" s="15"/>
      <c r="C377" s="18">
        <v>25</v>
      </c>
      <c r="D377" s="16"/>
      <c r="E377" s="17">
        <v>24331.5</v>
      </c>
      <c r="F377" s="17"/>
      <c r="G377" s="17">
        <v>1895</v>
      </c>
      <c r="H377" s="16"/>
      <c r="I377" s="17">
        <v>24331.5</v>
      </c>
      <c r="J377" s="17"/>
      <c r="K377" s="17">
        <v>1895</v>
      </c>
      <c r="L377" s="43"/>
      <c r="M377" s="17">
        <f>(L376+L378)/2*25</f>
        <v>22479.93</v>
      </c>
      <c r="N377" s="17"/>
      <c r="O377" s="17">
        <f>(N376+N378)/2*25</f>
        <v>1895</v>
      </c>
      <c r="P377" s="19">
        <f>I377+K377-M377-O377</f>
        <v>1851.57</v>
      </c>
    </row>
    <row r="378" ht="12" customHeight="1" spans="1:16">
      <c r="A378" s="14">
        <v>185</v>
      </c>
      <c r="B378" s="15" t="s">
        <v>200</v>
      </c>
      <c r="C378" s="18"/>
      <c r="D378" s="16">
        <v>960.6</v>
      </c>
      <c r="E378" s="17"/>
      <c r="F378" s="17">
        <v>79.9</v>
      </c>
      <c r="G378" s="17"/>
      <c r="H378" s="16">
        <v>960.6</v>
      </c>
      <c r="I378" s="17"/>
      <c r="J378" s="17">
        <v>79.9</v>
      </c>
      <c r="K378" s="17"/>
      <c r="L378" s="43">
        <v>894.471</v>
      </c>
      <c r="M378" s="17"/>
      <c r="N378" s="17">
        <v>79.9</v>
      </c>
      <c r="O378" s="17"/>
      <c r="P378" s="19"/>
    </row>
    <row r="379" ht="12" customHeight="1" spans="1:16">
      <c r="A379" s="14"/>
      <c r="B379" s="15"/>
      <c r="C379" s="18">
        <v>25</v>
      </c>
      <c r="D379" s="16"/>
      <c r="E379" s="17">
        <v>23706.75</v>
      </c>
      <c r="F379" s="17"/>
      <c r="G379" s="17">
        <v>2053.5</v>
      </c>
      <c r="H379" s="16"/>
      <c r="I379" s="17">
        <v>23706.75</v>
      </c>
      <c r="J379" s="17"/>
      <c r="K379" s="17">
        <v>2053.5</v>
      </c>
      <c r="L379" s="43"/>
      <c r="M379" s="17">
        <f>(L378+L380)/2*25</f>
        <v>22119.42</v>
      </c>
      <c r="N379" s="17"/>
      <c r="O379" s="17">
        <f>(N378+N380)/2*25</f>
        <v>2053.5</v>
      </c>
      <c r="P379" s="19">
        <f>I379+K379-M379-O379</f>
        <v>1587.33</v>
      </c>
    </row>
    <row r="380" ht="12" customHeight="1" spans="1:16">
      <c r="A380" s="14">
        <v>186</v>
      </c>
      <c r="B380" s="15" t="s">
        <v>201</v>
      </c>
      <c r="C380" s="18"/>
      <c r="D380" s="16">
        <v>935.94</v>
      </c>
      <c r="E380" s="17"/>
      <c r="F380" s="17">
        <v>84.38</v>
      </c>
      <c r="G380" s="17"/>
      <c r="H380" s="16">
        <v>935.94</v>
      </c>
      <c r="I380" s="17"/>
      <c r="J380" s="17">
        <v>84.38</v>
      </c>
      <c r="K380" s="17"/>
      <c r="L380" s="43">
        <v>875.0826</v>
      </c>
      <c r="M380" s="17"/>
      <c r="N380" s="17">
        <v>84.38</v>
      </c>
      <c r="O380" s="17"/>
      <c r="P380" s="19"/>
    </row>
    <row r="381" ht="12" customHeight="1" spans="1:16">
      <c r="A381" s="14"/>
      <c r="B381" s="15"/>
      <c r="C381" s="23">
        <v>25</v>
      </c>
      <c r="D381" s="16"/>
      <c r="E381" s="17">
        <v>22993.88</v>
      </c>
      <c r="F381" s="17"/>
      <c r="G381" s="17">
        <v>2187.75</v>
      </c>
      <c r="H381" s="16"/>
      <c r="I381" s="17">
        <v>22993.88</v>
      </c>
      <c r="J381" s="17"/>
      <c r="K381" s="17">
        <v>2187.75</v>
      </c>
      <c r="L381" s="43"/>
      <c r="M381" s="17">
        <f>(L380+L382)/2*25</f>
        <v>21376.1175</v>
      </c>
      <c r="N381" s="17"/>
      <c r="O381" s="17">
        <f>(N380+N382)/2*25</f>
        <v>2187.75</v>
      </c>
      <c r="P381" s="19">
        <f>I381+K381-M381-O381</f>
        <v>1617.7625</v>
      </c>
    </row>
    <row r="382" ht="12" customHeight="1" spans="1:16">
      <c r="A382" s="14">
        <v>187</v>
      </c>
      <c r="B382" s="15" t="s">
        <v>202</v>
      </c>
      <c r="C382" s="25"/>
      <c r="D382" s="16">
        <v>903.57</v>
      </c>
      <c r="E382" s="17"/>
      <c r="F382" s="17">
        <v>90.64</v>
      </c>
      <c r="G382" s="17"/>
      <c r="H382" s="16">
        <v>903.57</v>
      </c>
      <c r="I382" s="17"/>
      <c r="J382" s="17">
        <v>90.64</v>
      </c>
      <c r="K382" s="17"/>
      <c r="L382" s="43">
        <v>835.0068</v>
      </c>
      <c r="M382" s="17"/>
      <c r="N382" s="17">
        <v>90.64</v>
      </c>
      <c r="O382" s="17"/>
      <c r="P382" s="19"/>
    </row>
    <row r="383" ht="12" customHeight="1" spans="1:16">
      <c r="A383" s="14"/>
      <c r="B383" s="15"/>
      <c r="C383" s="18">
        <v>25</v>
      </c>
      <c r="D383" s="16"/>
      <c r="E383" s="17">
        <v>22937.5</v>
      </c>
      <c r="F383" s="17"/>
      <c r="G383" s="17">
        <v>2309.25</v>
      </c>
      <c r="H383" s="16"/>
      <c r="I383" s="17">
        <v>22937.5</v>
      </c>
      <c r="J383" s="17"/>
      <c r="K383" s="17">
        <v>2309.25</v>
      </c>
      <c r="L383" s="43"/>
      <c r="M383" s="17">
        <f>(L382+L384)/2*25</f>
        <v>21346.46</v>
      </c>
      <c r="N383" s="17"/>
      <c r="O383" s="17">
        <f>(N382+N384)/2*25</f>
        <v>2309.25</v>
      </c>
      <c r="P383" s="19">
        <f>I383+K383-M383-O383</f>
        <v>1591.04</v>
      </c>
    </row>
    <row r="384" ht="12" customHeight="1" spans="1:16">
      <c r="A384" s="14">
        <v>188</v>
      </c>
      <c r="B384" s="15" t="s">
        <v>203</v>
      </c>
      <c r="C384" s="18"/>
      <c r="D384" s="16">
        <v>931.43</v>
      </c>
      <c r="E384" s="17"/>
      <c r="F384" s="17">
        <v>94.1</v>
      </c>
      <c r="G384" s="17"/>
      <c r="H384" s="16">
        <v>931.43</v>
      </c>
      <c r="I384" s="17"/>
      <c r="J384" s="17">
        <v>94.1</v>
      </c>
      <c r="K384" s="17"/>
      <c r="L384" s="43">
        <v>872.71</v>
      </c>
      <c r="M384" s="17"/>
      <c r="N384" s="17">
        <v>94.1</v>
      </c>
      <c r="O384" s="17"/>
      <c r="P384" s="19"/>
    </row>
    <row r="385" ht="12" customHeight="1" spans="1:16">
      <c r="A385" s="14"/>
      <c r="B385" s="15"/>
      <c r="C385" s="18">
        <v>25</v>
      </c>
      <c r="D385" s="16"/>
      <c r="E385" s="17">
        <v>22495.63</v>
      </c>
      <c r="F385" s="17"/>
      <c r="G385" s="17">
        <v>2243.13</v>
      </c>
      <c r="H385" s="16"/>
      <c r="I385" s="17">
        <v>22495.63</v>
      </c>
      <c r="J385" s="17"/>
      <c r="K385" s="17">
        <v>2243.13</v>
      </c>
      <c r="L385" s="43"/>
      <c r="M385" s="17">
        <f>(L384+L386)/2*25</f>
        <v>21139.625</v>
      </c>
      <c r="N385" s="17"/>
      <c r="O385" s="17">
        <f>(N384+N386)/2*25</f>
        <v>2243.125</v>
      </c>
      <c r="P385" s="19">
        <f>I385+K385-M385-O385</f>
        <v>1356.01</v>
      </c>
    </row>
    <row r="386" ht="12" customHeight="1" spans="1:16">
      <c r="A386" s="14">
        <v>189</v>
      </c>
      <c r="B386" s="15" t="s">
        <v>204</v>
      </c>
      <c r="C386" s="18"/>
      <c r="D386" s="16">
        <v>868.22</v>
      </c>
      <c r="E386" s="17"/>
      <c r="F386" s="17">
        <v>85.35</v>
      </c>
      <c r="G386" s="17"/>
      <c r="H386" s="16">
        <v>868.22</v>
      </c>
      <c r="I386" s="17"/>
      <c r="J386" s="17">
        <v>85.35</v>
      </c>
      <c r="K386" s="17"/>
      <c r="L386" s="43">
        <v>818.46</v>
      </c>
      <c r="M386" s="17"/>
      <c r="N386" s="17">
        <v>85.35</v>
      </c>
      <c r="O386" s="17"/>
      <c r="P386" s="19"/>
    </row>
    <row r="387" ht="12" customHeight="1" spans="1:16">
      <c r="A387" s="14"/>
      <c r="B387" s="15"/>
      <c r="C387" s="23">
        <v>25</v>
      </c>
      <c r="D387" s="16"/>
      <c r="E387" s="17">
        <v>21302.75</v>
      </c>
      <c r="F387" s="17"/>
      <c r="G387" s="17">
        <v>2127.75</v>
      </c>
      <c r="H387" s="16"/>
      <c r="I387" s="17">
        <v>21302.75</v>
      </c>
      <c r="J387" s="17"/>
      <c r="K387" s="17">
        <v>2127.75</v>
      </c>
      <c r="L387" s="43"/>
      <c r="M387" s="17">
        <f>(L386+L388)/2*25</f>
        <v>20035.125</v>
      </c>
      <c r="N387" s="17"/>
      <c r="O387" s="17">
        <f>(N386+N388)/2*25</f>
        <v>2127.75</v>
      </c>
      <c r="P387" s="19">
        <f>I387+K387-M387-O387</f>
        <v>1267.625</v>
      </c>
    </row>
    <row r="388" ht="12" customHeight="1" spans="1:16">
      <c r="A388" s="14">
        <v>190</v>
      </c>
      <c r="B388" s="15" t="s">
        <v>205</v>
      </c>
      <c r="C388" s="25"/>
      <c r="D388" s="16">
        <v>836</v>
      </c>
      <c r="E388" s="17"/>
      <c r="F388" s="17">
        <v>84.87</v>
      </c>
      <c r="G388" s="17"/>
      <c r="H388" s="16">
        <v>836</v>
      </c>
      <c r="I388" s="17"/>
      <c r="J388" s="17">
        <v>84.87</v>
      </c>
      <c r="K388" s="17"/>
      <c r="L388" s="43">
        <v>784.35</v>
      </c>
      <c r="M388" s="17"/>
      <c r="N388" s="17">
        <v>84.87</v>
      </c>
      <c r="O388" s="17"/>
      <c r="P388" s="19"/>
    </row>
    <row r="389" ht="12" customHeight="1" spans="1:16">
      <c r="A389" s="14"/>
      <c r="B389" s="15"/>
      <c r="C389" s="18">
        <v>25</v>
      </c>
      <c r="D389" s="16"/>
      <c r="E389" s="17">
        <v>19732.25</v>
      </c>
      <c r="F389" s="17"/>
      <c r="G389" s="17">
        <v>2057</v>
      </c>
      <c r="H389" s="16"/>
      <c r="I389" s="17">
        <v>19732.25</v>
      </c>
      <c r="J389" s="17"/>
      <c r="K389" s="17">
        <v>2057</v>
      </c>
      <c r="L389" s="43"/>
      <c r="M389" s="17">
        <f>(L388+L390)/2*25</f>
        <v>18559.75</v>
      </c>
      <c r="N389" s="17"/>
      <c r="O389" s="17">
        <f>(N388+N390)/2*25</f>
        <v>2057</v>
      </c>
      <c r="P389" s="19">
        <f>I389+K389-M389-O389</f>
        <v>1172.5</v>
      </c>
    </row>
    <row r="390" ht="12" customHeight="1" spans="1:16">
      <c r="A390" s="14">
        <v>191</v>
      </c>
      <c r="B390" s="15" t="s">
        <v>206</v>
      </c>
      <c r="C390" s="18"/>
      <c r="D390" s="16">
        <v>742.58</v>
      </c>
      <c r="E390" s="17"/>
      <c r="F390" s="17">
        <v>79.69</v>
      </c>
      <c r="G390" s="17"/>
      <c r="H390" s="16">
        <v>742.58</v>
      </c>
      <c r="I390" s="17"/>
      <c r="J390" s="17">
        <v>79.69</v>
      </c>
      <c r="K390" s="17"/>
      <c r="L390" s="43">
        <v>700.43</v>
      </c>
      <c r="M390" s="17"/>
      <c r="N390" s="17">
        <v>79.69</v>
      </c>
      <c r="O390" s="17"/>
      <c r="P390" s="19"/>
    </row>
    <row r="391" ht="12" customHeight="1" spans="1:16">
      <c r="A391" s="14"/>
      <c r="B391" s="15"/>
      <c r="C391" s="18">
        <v>25</v>
      </c>
      <c r="D391" s="16"/>
      <c r="E391" s="17">
        <v>15615</v>
      </c>
      <c r="F391" s="17"/>
      <c r="G391" s="17">
        <v>1594.5</v>
      </c>
      <c r="H391" s="16"/>
      <c r="I391" s="17">
        <v>15615</v>
      </c>
      <c r="J391" s="17"/>
      <c r="K391" s="17">
        <v>1594.5</v>
      </c>
      <c r="L391" s="43"/>
      <c r="M391" s="17">
        <f>(L390+L392)/2*25</f>
        <v>14541.125</v>
      </c>
      <c r="N391" s="17"/>
      <c r="O391" s="17">
        <f>(N390+N392)/2*25</f>
        <v>1594.5</v>
      </c>
      <c r="P391" s="19">
        <f>I391+K391-M391-O391</f>
        <v>1073.875</v>
      </c>
    </row>
    <row r="392" ht="12" customHeight="1" spans="1:16">
      <c r="A392" s="14">
        <v>192</v>
      </c>
      <c r="B392" s="15" t="s">
        <v>207</v>
      </c>
      <c r="C392" s="18"/>
      <c r="D392" s="16">
        <v>506.62</v>
      </c>
      <c r="E392" s="17"/>
      <c r="F392" s="17">
        <v>47.87</v>
      </c>
      <c r="G392" s="17"/>
      <c r="H392" s="16">
        <v>506.62</v>
      </c>
      <c r="I392" s="17"/>
      <c r="J392" s="17">
        <v>47.87</v>
      </c>
      <c r="K392" s="17"/>
      <c r="L392" s="43">
        <v>462.86</v>
      </c>
      <c r="M392" s="17"/>
      <c r="N392" s="17">
        <v>47.87</v>
      </c>
      <c r="O392" s="17"/>
      <c r="P392" s="19"/>
    </row>
    <row r="393" ht="12" customHeight="1" spans="1:16">
      <c r="A393" s="14"/>
      <c r="B393" s="15"/>
      <c r="C393" s="23">
        <v>25</v>
      </c>
      <c r="D393" s="16"/>
      <c r="E393" s="17">
        <v>12005.38</v>
      </c>
      <c r="F393" s="17"/>
      <c r="G393" s="17">
        <v>1141.38</v>
      </c>
      <c r="H393" s="16"/>
      <c r="I393" s="17">
        <v>12005.38</v>
      </c>
      <c r="J393" s="17"/>
      <c r="K393" s="17">
        <v>1141.38</v>
      </c>
      <c r="L393" s="43"/>
      <c r="M393" s="17">
        <f>(L392+L394)/2*25</f>
        <v>10753</v>
      </c>
      <c r="N393" s="17"/>
      <c r="O393" s="17">
        <f>(N392+N394)/2*25</f>
        <v>1141.375</v>
      </c>
      <c r="P393" s="19">
        <f>I393+K393-M393-O393</f>
        <v>1252.385</v>
      </c>
    </row>
    <row r="394" ht="12" customHeight="1" spans="1:16">
      <c r="A394" s="14">
        <v>193</v>
      </c>
      <c r="B394" s="15" t="s">
        <v>208</v>
      </c>
      <c r="C394" s="25"/>
      <c r="D394" s="16">
        <v>453.81</v>
      </c>
      <c r="E394" s="17"/>
      <c r="F394" s="17">
        <v>43.44</v>
      </c>
      <c r="G394" s="17"/>
      <c r="H394" s="16">
        <v>453.81</v>
      </c>
      <c r="I394" s="17"/>
      <c r="J394" s="17">
        <v>43.44</v>
      </c>
      <c r="K394" s="17"/>
      <c r="L394" s="43">
        <v>397.38</v>
      </c>
      <c r="M394" s="17"/>
      <c r="N394" s="17">
        <v>43.44</v>
      </c>
      <c r="O394" s="17"/>
      <c r="P394" s="19"/>
    </row>
    <row r="395" ht="12" customHeight="1" spans="1:16">
      <c r="A395" s="14"/>
      <c r="B395" s="15"/>
      <c r="C395" s="18">
        <v>25</v>
      </c>
      <c r="D395" s="16"/>
      <c r="E395" s="17">
        <v>11571.75</v>
      </c>
      <c r="F395" s="17"/>
      <c r="G395" s="17">
        <v>1015.13</v>
      </c>
      <c r="H395" s="16"/>
      <c r="I395" s="17">
        <v>11571.75</v>
      </c>
      <c r="J395" s="17"/>
      <c r="K395" s="17">
        <v>1015.13</v>
      </c>
      <c r="L395" s="43"/>
      <c r="M395" s="17">
        <f>(L394+L396)/2*25</f>
        <v>10024.125</v>
      </c>
      <c r="N395" s="17"/>
      <c r="O395" s="17">
        <f>(N394+N396)/2*25</f>
        <v>1015.125</v>
      </c>
      <c r="P395" s="19">
        <f>I395+K395-M395-O395</f>
        <v>1547.63</v>
      </c>
    </row>
    <row r="396" ht="12" customHeight="1" spans="1:16">
      <c r="A396" s="14">
        <v>194</v>
      </c>
      <c r="B396" s="15" t="s">
        <v>209</v>
      </c>
      <c r="C396" s="18"/>
      <c r="D396" s="16">
        <v>471.93</v>
      </c>
      <c r="E396" s="17"/>
      <c r="F396" s="17">
        <v>37.77</v>
      </c>
      <c r="G396" s="17"/>
      <c r="H396" s="16">
        <v>471.93</v>
      </c>
      <c r="I396" s="17"/>
      <c r="J396" s="17">
        <v>37.77</v>
      </c>
      <c r="K396" s="17"/>
      <c r="L396" s="43">
        <v>404.55</v>
      </c>
      <c r="M396" s="17"/>
      <c r="N396" s="17">
        <v>37.77</v>
      </c>
      <c r="O396" s="17"/>
      <c r="P396" s="19"/>
    </row>
    <row r="397" ht="12" customHeight="1" spans="1:16">
      <c r="A397" s="14"/>
      <c r="B397" s="15"/>
      <c r="C397" s="18">
        <v>25</v>
      </c>
      <c r="D397" s="16"/>
      <c r="E397" s="17">
        <v>11297.75</v>
      </c>
      <c r="F397" s="17"/>
      <c r="G397" s="17">
        <v>888.88</v>
      </c>
      <c r="H397" s="16"/>
      <c r="I397" s="17">
        <v>11297.75</v>
      </c>
      <c r="J397" s="17"/>
      <c r="K397" s="17">
        <v>888.88</v>
      </c>
      <c r="L397" s="43"/>
      <c r="M397" s="17">
        <f>(L396+L398)/2*25</f>
        <v>9751.25</v>
      </c>
      <c r="N397" s="17"/>
      <c r="O397" s="17">
        <f>(N396+N398)/2*25</f>
        <v>888.875</v>
      </c>
      <c r="P397" s="19">
        <f>I397+K397-M397-O397</f>
        <v>1546.505</v>
      </c>
    </row>
    <row r="398" ht="12" customHeight="1" spans="1:16">
      <c r="A398" s="14">
        <v>195</v>
      </c>
      <c r="B398" s="15" t="s">
        <v>210</v>
      </c>
      <c r="C398" s="18"/>
      <c r="D398" s="16">
        <v>431.89</v>
      </c>
      <c r="E398" s="17"/>
      <c r="F398" s="17">
        <v>33.34</v>
      </c>
      <c r="G398" s="17"/>
      <c r="H398" s="16">
        <v>431.89</v>
      </c>
      <c r="I398" s="17"/>
      <c r="J398" s="17">
        <v>33.34</v>
      </c>
      <c r="K398" s="17"/>
      <c r="L398" s="43">
        <v>375.55</v>
      </c>
      <c r="M398" s="17"/>
      <c r="N398" s="17">
        <v>33.34</v>
      </c>
      <c r="O398" s="17"/>
      <c r="P398" s="19"/>
    </row>
    <row r="399" ht="12" customHeight="1" spans="1:16">
      <c r="A399" s="14"/>
      <c r="B399" s="15"/>
      <c r="C399" s="23">
        <v>25</v>
      </c>
      <c r="D399" s="16"/>
      <c r="E399" s="17">
        <v>10463.38</v>
      </c>
      <c r="F399" s="17"/>
      <c r="G399" s="17">
        <v>767.75</v>
      </c>
      <c r="H399" s="16"/>
      <c r="I399" s="17">
        <v>10463.38</v>
      </c>
      <c r="J399" s="17"/>
      <c r="K399" s="17">
        <v>767.75</v>
      </c>
      <c r="L399" s="43"/>
      <c r="M399" s="17">
        <f>(L398+L400)/2*25</f>
        <v>9229</v>
      </c>
      <c r="N399" s="17"/>
      <c r="O399" s="17">
        <f>(N398+N400)/2*25</f>
        <v>767.75</v>
      </c>
      <c r="P399" s="19">
        <f>I399+K399-M399-O399</f>
        <v>1234.38</v>
      </c>
    </row>
    <row r="400" ht="12" customHeight="1" spans="1:16">
      <c r="A400" s="14">
        <v>196</v>
      </c>
      <c r="B400" s="15" t="s">
        <v>211</v>
      </c>
      <c r="C400" s="25"/>
      <c r="D400" s="16">
        <v>405.18</v>
      </c>
      <c r="E400" s="17"/>
      <c r="F400" s="17">
        <v>28.08</v>
      </c>
      <c r="G400" s="17"/>
      <c r="H400" s="16">
        <v>405.18</v>
      </c>
      <c r="I400" s="17"/>
      <c r="J400" s="17">
        <v>28.08</v>
      </c>
      <c r="K400" s="17"/>
      <c r="L400" s="43">
        <v>362.77</v>
      </c>
      <c r="M400" s="17"/>
      <c r="N400" s="17">
        <v>28.08</v>
      </c>
      <c r="O400" s="17"/>
      <c r="P400" s="19"/>
    </row>
    <row r="401" ht="12" customHeight="1" spans="1:16">
      <c r="A401" s="14"/>
      <c r="B401" s="15"/>
      <c r="C401" s="18">
        <v>25</v>
      </c>
      <c r="D401" s="16"/>
      <c r="E401" s="17">
        <v>9893.63</v>
      </c>
      <c r="F401" s="17"/>
      <c r="G401" s="17">
        <v>701.75</v>
      </c>
      <c r="H401" s="16"/>
      <c r="I401" s="17">
        <v>9893.63</v>
      </c>
      <c r="J401" s="17"/>
      <c r="K401" s="17">
        <v>701.75</v>
      </c>
      <c r="L401" s="43"/>
      <c r="M401" s="17">
        <f>(L400+L402)/2*25</f>
        <v>8871.625</v>
      </c>
      <c r="N401" s="17"/>
      <c r="O401" s="17">
        <f>(N400+N402)/2*25</f>
        <v>701.75</v>
      </c>
      <c r="P401" s="19">
        <f>I401+K401-M401-O401</f>
        <v>1022.005</v>
      </c>
    </row>
    <row r="402" ht="12" customHeight="1" spans="1:16">
      <c r="A402" s="14">
        <v>197</v>
      </c>
      <c r="B402" s="15" t="s">
        <v>212</v>
      </c>
      <c r="C402" s="18"/>
      <c r="D402" s="16">
        <v>386.31</v>
      </c>
      <c r="E402" s="17"/>
      <c r="F402" s="17">
        <v>28.06</v>
      </c>
      <c r="G402" s="17"/>
      <c r="H402" s="16">
        <v>386.31</v>
      </c>
      <c r="I402" s="17"/>
      <c r="J402" s="17">
        <v>28.06</v>
      </c>
      <c r="K402" s="17"/>
      <c r="L402" s="43">
        <v>346.96</v>
      </c>
      <c r="M402" s="17"/>
      <c r="N402" s="17">
        <v>28.06</v>
      </c>
      <c r="O402" s="17"/>
      <c r="P402" s="19"/>
    </row>
    <row r="403" ht="12" customHeight="1" spans="1:16">
      <c r="A403" s="14"/>
      <c r="B403" s="15"/>
      <c r="C403" s="18">
        <v>25</v>
      </c>
      <c r="D403" s="16"/>
      <c r="E403" s="17">
        <v>9731.25</v>
      </c>
      <c r="F403" s="17"/>
      <c r="G403" s="17">
        <v>708.5</v>
      </c>
      <c r="H403" s="16"/>
      <c r="I403" s="17">
        <v>9731.25</v>
      </c>
      <c r="J403" s="17"/>
      <c r="K403" s="17">
        <v>708.5</v>
      </c>
      <c r="L403" s="43"/>
      <c r="M403" s="17">
        <f>(L402+L404)/2*25</f>
        <v>8645.75</v>
      </c>
      <c r="N403" s="17"/>
      <c r="O403" s="17">
        <f>(N402+N404)/2*25</f>
        <v>708.5</v>
      </c>
      <c r="P403" s="19">
        <f>I403+K403-M403-O403</f>
        <v>1085.5</v>
      </c>
    </row>
    <row r="404" ht="12" customHeight="1" spans="1:16">
      <c r="A404" s="14">
        <v>198</v>
      </c>
      <c r="B404" s="15" t="s">
        <v>213</v>
      </c>
      <c r="C404" s="18"/>
      <c r="D404" s="16">
        <v>392.19</v>
      </c>
      <c r="E404" s="17"/>
      <c r="F404" s="17">
        <v>28.62</v>
      </c>
      <c r="G404" s="17"/>
      <c r="H404" s="16">
        <v>392.19</v>
      </c>
      <c r="I404" s="17"/>
      <c r="J404" s="17">
        <v>28.62</v>
      </c>
      <c r="K404" s="17"/>
      <c r="L404" s="43">
        <v>344.7</v>
      </c>
      <c r="M404" s="17"/>
      <c r="N404" s="17">
        <v>28.62</v>
      </c>
      <c r="O404" s="17"/>
      <c r="P404" s="19"/>
    </row>
    <row r="405" ht="12" customHeight="1" spans="1:16">
      <c r="A405" s="14"/>
      <c r="B405" s="15"/>
      <c r="C405" s="23">
        <v>25</v>
      </c>
      <c r="D405" s="16"/>
      <c r="E405" s="17">
        <v>9533.25</v>
      </c>
      <c r="F405" s="17"/>
      <c r="G405" s="17">
        <v>735.88</v>
      </c>
      <c r="H405" s="16"/>
      <c r="I405" s="17">
        <v>9533.25</v>
      </c>
      <c r="J405" s="17"/>
      <c r="K405" s="17">
        <v>735.88</v>
      </c>
      <c r="L405" s="43"/>
      <c r="M405" s="17">
        <f>(L404+L406)/2*25</f>
        <v>8535.75</v>
      </c>
      <c r="N405" s="17"/>
      <c r="O405" s="17">
        <f>(N404+N406)/2*25</f>
        <v>735.875</v>
      </c>
      <c r="P405" s="19">
        <f>I405+K405-M405-O405</f>
        <v>997.504999999999</v>
      </c>
    </row>
    <row r="406" ht="12" customHeight="1" spans="1:16">
      <c r="A406" s="14">
        <v>199</v>
      </c>
      <c r="B406" s="15" t="s">
        <v>214</v>
      </c>
      <c r="C406" s="25"/>
      <c r="D406" s="16">
        <v>370.47</v>
      </c>
      <c r="E406" s="17"/>
      <c r="F406" s="17">
        <v>30.25</v>
      </c>
      <c r="G406" s="17"/>
      <c r="H406" s="16">
        <v>370.47</v>
      </c>
      <c r="I406" s="17"/>
      <c r="J406" s="17">
        <v>30.25</v>
      </c>
      <c r="K406" s="17"/>
      <c r="L406" s="43">
        <v>338.16</v>
      </c>
      <c r="M406" s="17"/>
      <c r="N406" s="17">
        <v>30.25</v>
      </c>
      <c r="O406" s="17"/>
      <c r="P406" s="19"/>
    </row>
    <row r="407" ht="12" customHeight="1" spans="1:16">
      <c r="A407" s="14"/>
      <c r="B407" s="15"/>
      <c r="C407" s="18">
        <v>25</v>
      </c>
      <c r="D407" s="16"/>
      <c r="E407" s="17">
        <v>11854.88</v>
      </c>
      <c r="F407" s="17"/>
      <c r="G407" s="17">
        <v>1167.25</v>
      </c>
      <c r="H407" s="16"/>
      <c r="I407" s="17">
        <v>11854.88</v>
      </c>
      <c r="J407" s="17"/>
      <c r="K407" s="17">
        <v>1167.25</v>
      </c>
      <c r="L407" s="43"/>
      <c r="M407" s="17">
        <f>(L406+L408)/2*25</f>
        <v>10741.375</v>
      </c>
      <c r="N407" s="17"/>
      <c r="O407" s="17">
        <f>(N406+N408)/2*25</f>
        <v>1167.25</v>
      </c>
      <c r="P407" s="19">
        <f>I407+K407-M407-O407</f>
        <v>1113.505</v>
      </c>
    </row>
    <row r="408" ht="12" customHeight="1" spans="1:16">
      <c r="A408" s="14">
        <v>200</v>
      </c>
      <c r="B408" s="15" t="s">
        <v>215</v>
      </c>
      <c r="C408" s="18"/>
      <c r="D408" s="16">
        <v>577.92</v>
      </c>
      <c r="E408" s="17"/>
      <c r="F408" s="17">
        <v>63.13</v>
      </c>
      <c r="G408" s="17"/>
      <c r="H408" s="16">
        <v>577.92</v>
      </c>
      <c r="I408" s="17"/>
      <c r="J408" s="17">
        <v>63.13</v>
      </c>
      <c r="K408" s="17"/>
      <c r="L408" s="43">
        <v>521.15</v>
      </c>
      <c r="M408" s="17"/>
      <c r="N408" s="17">
        <v>63.13</v>
      </c>
      <c r="O408" s="17"/>
      <c r="P408" s="19"/>
    </row>
    <row r="409" ht="12" customHeight="1" spans="1:16">
      <c r="A409" s="14"/>
      <c r="B409" s="15"/>
      <c r="C409" s="18">
        <v>25</v>
      </c>
      <c r="D409" s="16"/>
      <c r="E409" s="17">
        <v>16839.25</v>
      </c>
      <c r="F409" s="17"/>
      <c r="G409" s="17">
        <v>1755.88</v>
      </c>
      <c r="H409" s="16"/>
      <c r="I409" s="17">
        <v>16839.25</v>
      </c>
      <c r="J409" s="17"/>
      <c r="K409" s="17">
        <v>1755.88</v>
      </c>
      <c r="L409" s="43"/>
      <c r="M409" s="17">
        <f>(L408+L410)/2*25</f>
        <v>15297</v>
      </c>
      <c r="N409" s="17"/>
      <c r="O409" s="17">
        <f>(N408+N410)/2*25</f>
        <v>1755.875</v>
      </c>
      <c r="P409" s="19">
        <f>I409+K409-M409-O409</f>
        <v>1542.255</v>
      </c>
    </row>
    <row r="410" ht="12" customHeight="1" spans="1:16">
      <c r="A410" s="14">
        <v>201</v>
      </c>
      <c r="B410" s="15" t="s">
        <v>216</v>
      </c>
      <c r="C410" s="18"/>
      <c r="D410" s="16">
        <v>769.22</v>
      </c>
      <c r="E410" s="17"/>
      <c r="F410" s="17">
        <v>77.34</v>
      </c>
      <c r="G410" s="17"/>
      <c r="H410" s="16">
        <v>769.22</v>
      </c>
      <c r="I410" s="17"/>
      <c r="J410" s="17">
        <v>77.34</v>
      </c>
      <c r="K410" s="17"/>
      <c r="L410" s="43">
        <v>702.61</v>
      </c>
      <c r="M410" s="17"/>
      <c r="N410" s="17">
        <v>77.34</v>
      </c>
      <c r="O410" s="17"/>
      <c r="P410" s="19"/>
    </row>
    <row r="411" ht="12" customHeight="1" spans="1:16">
      <c r="A411" s="14"/>
      <c r="B411" s="15"/>
      <c r="C411" s="23">
        <v>25</v>
      </c>
      <c r="D411" s="16"/>
      <c r="E411" s="17">
        <v>20870.13</v>
      </c>
      <c r="F411" s="17"/>
      <c r="G411" s="17">
        <v>2113.13</v>
      </c>
      <c r="H411" s="16"/>
      <c r="I411" s="17">
        <v>20870.13</v>
      </c>
      <c r="J411" s="17"/>
      <c r="K411" s="17">
        <v>2113.13</v>
      </c>
      <c r="L411" s="43"/>
      <c r="M411" s="17">
        <f>(L410+L412)/2*25</f>
        <v>19101.75</v>
      </c>
      <c r="N411" s="17"/>
      <c r="O411" s="17">
        <f>(N410+N412)/2*25</f>
        <v>2113.125</v>
      </c>
      <c r="P411" s="19">
        <f>I411+K411-M411-O411</f>
        <v>1768.385</v>
      </c>
    </row>
    <row r="412" ht="12" customHeight="1" spans="1:16">
      <c r="A412" s="14">
        <v>202</v>
      </c>
      <c r="B412" s="15" t="s">
        <v>217</v>
      </c>
      <c r="C412" s="25"/>
      <c r="D412" s="16">
        <v>900.39</v>
      </c>
      <c r="E412" s="17"/>
      <c r="F412" s="17">
        <v>91.71</v>
      </c>
      <c r="G412" s="17"/>
      <c r="H412" s="16">
        <v>900.39</v>
      </c>
      <c r="I412" s="17"/>
      <c r="J412" s="17">
        <v>91.71</v>
      </c>
      <c r="K412" s="17"/>
      <c r="L412" s="43">
        <v>825.53</v>
      </c>
      <c r="M412" s="17"/>
      <c r="N412" s="17">
        <v>91.71</v>
      </c>
      <c r="O412" s="17"/>
      <c r="P412" s="19"/>
    </row>
    <row r="413" ht="12" customHeight="1" spans="1:16">
      <c r="A413" s="14"/>
      <c r="B413" s="15"/>
      <c r="C413" s="18">
        <v>25</v>
      </c>
      <c r="D413" s="16"/>
      <c r="E413" s="17">
        <v>22474.63</v>
      </c>
      <c r="F413" s="17"/>
      <c r="G413" s="17">
        <v>2297.5</v>
      </c>
      <c r="H413" s="16"/>
      <c r="I413" s="17">
        <v>22474.63</v>
      </c>
      <c r="J413" s="17"/>
      <c r="K413" s="17">
        <v>2297.5</v>
      </c>
      <c r="L413" s="43"/>
      <c r="M413" s="17">
        <f>(L412+L414)/2*25</f>
        <v>20782.5</v>
      </c>
      <c r="N413" s="17"/>
      <c r="O413" s="17">
        <f>(N412+N414)/2*25</f>
        <v>2297.5</v>
      </c>
      <c r="P413" s="19">
        <f>I413+K413-M413-O413</f>
        <v>1692.13</v>
      </c>
    </row>
    <row r="414" ht="12" customHeight="1" spans="1:16">
      <c r="A414" s="14">
        <v>203</v>
      </c>
      <c r="B414" s="15" t="s">
        <v>218</v>
      </c>
      <c r="C414" s="18"/>
      <c r="D414" s="16">
        <v>897.58</v>
      </c>
      <c r="E414" s="17"/>
      <c r="F414" s="17">
        <v>92.09</v>
      </c>
      <c r="G414" s="17"/>
      <c r="H414" s="16">
        <v>897.58</v>
      </c>
      <c r="I414" s="17"/>
      <c r="J414" s="17">
        <v>92.09</v>
      </c>
      <c r="K414" s="17"/>
      <c r="L414" s="43">
        <v>837.07</v>
      </c>
      <c r="M414" s="17"/>
      <c r="N414" s="17">
        <v>92.09</v>
      </c>
      <c r="O414" s="17"/>
      <c r="P414" s="19"/>
    </row>
    <row r="415" ht="12" customHeight="1" spans="1:16">
      <c r="A415" s="14"/>
      <c r="B415" s="15"/>
      <c r="C415" s="18">
        <v>25</v>
      </c>
      <c r="D415" s="16"/>
      <c r="E415" s="17">
        <v>22028.88</v>
      </c>
      <c r="F415" s="17"/>
      <c r="G415" s="17">
        <v>2355.38</v>
      </c>
      <c r="H415" s="16"/>
      <c r="I415" s="17">
        <v>22028.88</v>
      </c>
      <c r="J415" s="17"/>
      <c r="K415" s="17">
        <v>2355.38</v>
      </c>
      <c r="L415" s="43"/>
      <c r="M415" s="17">
        <f>(L414+L416)/2*25</f>
        <v>20631.5</v>
      </c>
      <c r="N415" s="17"/>
      <c r="O415" s="17">
        <f>(N414+N416)/2*25</f>
        <v>2355.375</v>
      </c>
      <c r="P415" s="19">
        <f>I415+K415-M415-O415</f>
        <v>1397.385</v>
      </c>
    </row>
    <row r="416" ht="12" customHeight="1" spans="1:16">
      <c r="A416" s="14">
        <v>204</v>
      </c>
      <c r="B416" s="15" t="s">
        <v>219</v>
      </c>
      <c r="C416" s="18"/>
      <c r="D416" s="16">
        <v>864.73</v>
      </c>
      <c r="E416" s="17"/>
      <c r="F416" s="17">
        <v>96.34</v>
      </c>
      <c r="G416" s="17"/>
      <c r="H416" s="16">
        <v>864.73</v>
      </c>
      <c r="I416" s="17"/>
      <c r="J416" s="17">
        <v>96.34</v>
      </c>
      <c r="K416" s="17"/>
      <c r="L416" s="43">
        <v>813.45</v>
      </c>
      <c r="M416" s="17"/>
      <c r="N416" s="17">
        <v>96.34</v>
      </c>
      <c r="O416" s="17"/>
      <c r="P416" s="19"/>
    </row>
    <row r="417" ht="12" customHeight="1" spans="1:16">
      <c r="A417" s="14"/>
      <c r="B417" s="15"/>
      <c r="C417" s="23">
        <v>25</v>
      </c>
      <c r="D417" s="16"/>
      <c r="E417" s="17">
        <v>22014.25</v>
      </c>
      <c r="F417" s="17"/>
      <c r="G417" s="17">
        <v>2356.88</v>
      </c>
      <c r="H417" s="16"/>
      <c r="I417" s="17">
        <v>22014.25</v>
      </c>
      <c r="J417" s="17"/>
      <c r="K417" s="17">
        <v>2356.88</v>
      </c>
      <c r="L417" s="43"/>
      <c r="M417" s="17">
        <f>(L416+L418)/2*25</f>
        <v>20646.25</v>
      </c>
      <c r="N417" s="17"/>
      <c r="O417" s="17">
        <f>(N416+N418)/2*25</f>
        <v>2356.875</v>
      </c>
      <c r="P417" s="19">
        <f>I417+K417-M417-O417</f>
        <v>1368.005</v>
      </c>
    </row>
    <row r="418" ht="12" customHeight="1" spans="1:16">
      <c r="A418" s="14">
        <v>205</v>
      </c>
      <c r="B418" s="15" t="s">
        <v>220</v>
      </c>
      <c r="C418" s="25"/>
      <c r="D418" s="16">
        <v>896.41</v>
      </c>
      <c r="E418" s="17"/>
      <c r="F418" s="17">
        <v>92.21</v>
      </c>
      <c r="G418" s="17"/>
      <c r="H418" s="16">
        <v>896.41</v>
      </c>
      <c r="I418" s="17"/>
      <c r="J418" s="17">
        <v>92.21</v>
      </c>
      <c r="K418" s="17"/>
      <c r="L418" s="43">
        <v>838.25</v>
      </c>
      <c r="M418" s="17"/>
      <c r="N418" s="17">
        <v>92.21</v>
      </c>
      <c r="O418" s="17"/>
      <c r="P418" s="19"/>
    </row>
    <row r="419" ht="12" customHeight="1" spans="1:16">
      <c r="A419" s="14"/>
      <c r="B419" s="15"/>
      <c r="C419" s="18">
        <v>25</v>
      </c>
      <c r="D419" s="16"/>
      <c r="E419" s="17">
        <v>22581.38</v>
      </c>
      <c r="F419" s="17"/>
      <c r="G419" s="17">
        <v>2236.25</v>
      </c>
      <c r="H419" s="16"/>
      <c r="I419" s="17">
        <v>22581.38</v>
      </c>
      <c r="J419" s="17"/>
      <c r="K419" s="17">
        <v>2236.25</v>
      </c>
      <c r="L419" s="43"/>
      <c r="M419" s="17">
        <f>(L418+L420)/2*25</f>
        <v>21058.25</v>
      </c>
      <c r="N419" s="17"/>
      <c r="O419" s="17">
        <f>(N418+N420)/2*25</f>
        <v>2236.25</v>
      </c>
      <c r="P419" s="19">
        <f>I419+K419-M419-O419</f>
        <v>1523.13</v>
      </c>
    </row>
    <row r="420" ht="12" customHeight="1" spans="1:16">
      <c r="A420" s="14">
        <v>206</v>
      </c>
      <c r="B420" s="15" t="s">
        <v>221</v>
      </c>
      <c r="C420" s="18"/>
      <c r="D420" s="16">
        <v>910.1</v>
      </c>
      <c r="E420" s="17"/>
      <c r="F420" s="17">
        <v>86.69</v>
      </c>
      <c r="G420" s="17"/>
      <c r="H420" s="16">
        <v>910.1</v>
      </c>
      <c r="I420" s="17"/>
      <c r="J420" s="17">
        <v>86.69</v>
      </c>
      <c r="K420" s="17"/>
      <c r="L420" s="43">
        <v>846.41</v>
      </c>
      <c r="M420" s="17"/>
      <c r="N420" s="17">
        <v>86.69</v>
      </c>
      <c r="O420" s="17"/>
      <c r="P420" s="19"/>
    </row>
    <row r="421" ht="12" customHeight="1" spans="1:16">
      <c r="A421" s="14"/>
      <c r="B421" s="15"/>
      <c r="C421" s="18">
        <v>25</v>
      </c>
      <c r="D421" s="16"/>
      <c r="E421" s="17">
        <v>22031.63</v>
      </c>
      <c r="F421" s="17"/>
      <c r="G421" s="17">
        <v>2162.25</v>
      </c>
      <c r="H421" s="16"/>
      <c r="I421" s="17">
        <v>22031.63</v>
      </c>
      <c r="J421" s="17"/>
      <c r="K421" s="17">
        <v>2162.25</v>
      </c>
      <c r="L421" s="43"/>
      <c r="M421" s="17">
        <f>(L420+L422)/2*25</f>
        <v>20471.5</v>
      </c>
      <c r="N421" s="17"/>
      <c r="O421" s="17">
        <f>(N420+N422)/2*25</f>
        <v>2162.25</v>
      </c>
      <c r="P421" s="19">
        <f>I421+K421-M421-O421</f>
        <v>1560.13</v>
      </c>
    </row>
    <row r="422" ht="12" customHeight="1" spans="1:16">
      <c r="A422" s="14">
        <v>207</v>
      </c>
      <c r="B422" s="15" t="s">
        <v>222</v>
      </c>
      <c r="C422" s="18"/>
      <c r="D422" s="16">
        <v>852.43</v>
      </c>
      <c r="E422" s="17"/>
      <c r="F422" s="17">
        <v>86.29</v>
      </c>
      <c r="G422" s="17"/>
      <c r="H422" s="16">
        <v>852.43</v>
      </c>
      <c r="I422" s="17"/>
      <c r="J422" s="17">
        <v>86.29</v>
      </c>
      <c r="K422" s="17"/>
      <c r="L422" s="43">
        <v>791.31</v>
      </c>
      <c r="M422" s="17"/>
      <c r="N422" s="17">
        <v>86.29</v>
      </c>
      <c r="O422" s="17"/>
      <c r="P422" s="19"/>
    </row>
    <row r="423" ht="12" customHeight="1" spans="1:16">
      <c r="A423" s="14"/>
      <c r="B423" s="15"/>
      <c r="C423" s="23">
        <v>25</v>
      </c>
      <c r="D423" s="16"/>
      <c r="E423" s="17">
        <v>20885.25</v>
      </c>
      <c r="F423" s="17"/>
      <c r="G423" s="17">
        <v>2134</v>
      </c>
      <c r="H423" s="16"/>
      <c r="I423" s="17">
        <v>20885.25</v>
      </c>
      <c r="J423" s="17"/>
      <c r="K423" s="17">
        <v>2134</v>
      </c>
      <c r="L423" s="43"/>
      <c r="M423" s="17">
        <f>(L422+L424)/2*25</f>
        <v>19564.375</v>
      </c>
      <c r="N423" s="17"/>
      <c r="O423" s="17">
        <f>(N422+N424)/2*25</f>
        <v>2134</v>
      </c>
      <c r="P423" s="19">
        <f>I423+K423-M423-O423</f>
        <v>1320.875</v>
      </c>
    </row>
    <row r="424" ht="12" customHeight="1" spans="1:16">
      <c r="A424" s="14">
        <v>208</v>
      </c>
      <c r="B424" s="15" t="s">
        <v>223</v>
      </c>
      <c r="C424" s="25"/>
      <c r="D424" s="16">
        <v>818.39</v>
      </c>
      <c r="E424" s="17"/>
      <c r="F424" s="17">
        <v>84.43</v>
      </c>
      <c r="G424" s="17"/>
      <c r="H424" s="16">
        <v>818.39</v>
      </c>
      <c r="I424" s="17"/>
      <c r="J424" s="17">
        <v>84.43</v>
      </c>
      <c r="K424" s="17"/>
      <c r="L424" s="43">
        <v>773.84</v>
      </c>
      <c r="M424" s="17"/>
      <c r="N424" s="17">
        <v>84.43</v>
      </c>
      <c r="O424" s="17"/>
      <c r="P424" s="19"/>
    </row>
    <row r="425" ht="12" customHeight="1" spans="1:16">
      <c r="A425" s="14"/>
      <c r="B425" s="15"/>
      <c r="C425" s="18">
        <v>25</v>
      </c>
      <c r="D425" s="16"/>
      <c r="E425" s="17">
        <v>16863.38</v>
      </c>
      <c r="F425" s="17"/>
      <c r="G425" s="17">
        <v>2057.88</v>
      </c>
      <c r="H425" s="16"/>
      <c r="I425" s="54">
        <v>18905.5</v>
      </c>
      <c r="J425" s="17"/>
      <c r="K425" s="17">
        <v>2057.88</v>
      </c>
      <c r="L425" s="43"/>
      <c r="M425" s="17">
        <f>(L424+L426)/2*25</f>
        <v>17630.875</v>
      </c>
      <c r="N425" s="17"/>
      <c r="O425" s="17">
        <f>(N424+N426)/2*25</f>
        <v>2057.875</v>
      </c>
      <c r="P425" s="19">
        <f>I425+K425-M425-O425</f>
        <v>1274.63</v>
      </c>
    </row>
    <row r="426" ht="12" customHeight="1" spans="1:16">
      <c r="A426" s="55">
        <v>209</v>
      </c>
      <c r="B426" s="15" t="s">
        <v>224</v>
      </c>
      <c r="C426" s="18"/>
      <c r="D426" s="16">
        <v>694.05</v>
      </c>
      <c r="E426" s="17"/>
      <c r="F426" s="17">
        <v>80.2</v>
      </c>
      <c r="G426" s="17"/>
      <c r="H426" s="56">
        <v>694.05</v>
      </c>
      <c r="I426" s="54"/>
      <c r="J426" s="17">
        <v>80.2</v>
      </c>
      <c r="K426" s="17"/>
      <c r="L426" s="43">
        <v>636.63</v>
      </c>
      <c r="M426" s="17"/>
      <c r="N426" s="17">
        <v>80.2</v>
      </c>
      <c r="O426" s="17"/>
      <c r="P426" s="19"/>
    </row>
    <row r="427" ht="12" customHeight="1" spans="1:16">
      <c r="A427" s="55"/>
      <c r="B427" s="15"/>
      <c r="C427" s="18">
        <v>25</v>
      </c>
      <c r="D427" s="16"/>
      <c r="E427" s="17">
        <v>15202.13</v>
      </c>
      <c r="F427" s="17"/>
      <c r="G427" s="17">
        <v>1972.13</v>
      </c>
      <c r="H427" s="56"/>
      <c r="I427" s="54">
        <v>17244.25</v>
      </c>
      <c r="J427" s="17"/>
      <c r="K427" s="17">
        <v>1972.13</v>
      </c>
      <c r="L427" s="43"/>
      <c r="M427" s="17">
        <f>(L426+L428)/2*25</f>
        <v>15754</v>
      </c>
      <c r="N427" s="17"/>
      <c r="O427" s="17">
        <f>(N426+N428)/2*25</f>
        <v>1972.125</v>
      </c>
      <c r="P427" s="19">
        <f>I427+K427-M427-O427</f>
        <v>1490.255</v>
      </c>
    </row>
    <row r="428" ht="12" customHeight="1" spans="1:16">
      <c r="A428" s="14">
        <v>210</v>
      </c>
      <c r="B428" s="15" t="s">
        <v>225</v>
      </c>
      <c r="C428" s="18"/>
      <c r="D428" s="16">
        <v>685.49</v>
      </c>
      <c r="E428" s="17"/>
      <c r="F428" s="17">
        <v>77.57</v>
      </c>
      <c r="G428" s="17"/>
      <c r="H428" s="16">
        <v>685.49</v>
      </c>
      <c r="I428" s="54"/>
      <c r="J428" s="17">
        <v>77.57</v>
      </c>
      <c r="K428" s="17"/>
      <c r="L428" s="43">
        <v>623.69</v>
      </c>
      <c r="M428" s="17"/>
      <c r="N428" s="17">
        <v>77.57</v>
      </c>
      <c r="O428" s="17"/>
      <c r="P428" s="19"/>
    </row>
    <row r="429" ht="12" customHeight="1" spans="1:16">
      <c r="A429" s="14"/>
      <c r="B429" s="15"/>
      <c r="C429" s="23">
        <v>25</v>
      </c>
      <c r="D429" s="16"/>
      <c r="E429" s="17">
        <v>16563.38</v>
      </c>
      <c r="F429" s="17"/>
      <c r="G429" s="17">
        <v>1901</v>
      </c>
      <c r="H429" s="16"/>
      <c r="I429" s="17">
        <v>16563.38</v>
      </c>
      <c r="J429" s="17"/>
      <c r="K429" s="17">
        <v>1901</v>
      </c>
      <c r="L429" s="43"/>
      <c r="M429" s="17">
        <f>(L428+L430)/2*25</f>
        <v>15243.875</v>
      </c>
      <c r="N429" s="17"/>
      <c r="O429" s="17">
        <f>(N428+N430)/2*25</f>
        <v>1901</v>
      </c>
      <c r="P429" s="19">
        <f>I429+K429-M429-O429</f>
        <v>1319.505</v>
      </c>
    </row>
    <row r="430" ht="12" customHeight="1" spans="1:16">
      <c r="A430" s="14">
        <v>211</v>
      </c>
      <c r="B430" s="15" t="s">
        <v>226</v>
      </c>
      <c r="C430" s="25"/>
      <c r="D430" s="16">
        <v>639.58</v>
      </c>
      <c r="E430" s="17"/>
      <c r="F430" s="17">
        <v>74.51</v>
      </c>
      <c r="G430" s="17"/>
      <c r="H430" s="16">
        <v>639.58</v>
      </c>
      <c r="I430" s="17"/>
      <c r="J430" s="17">
        <v>74.51</v>
      </c>
      <c r="K430" s="17"/>
      <c r="L430" s="43">
        <v>595.82</v>
      </c>
      <c r="M430" s="17"/>
      <c r="N430" s="17">
        <v>74.51</v>
      </c>
      <c r="O430" s="17"/>
      <c r="P430" s="19"/>
    </row>
    <row r="431" ht="12" customHeight="1" spans="1:16">
      <c r="A431" s="14"/>
      <c r="B431" s="15"/>
      <c r="C431" s="18">
        <v>25</v>
      </c>
      <c r="D431" s="16"/>
      <c r="E431" s="17">
        <v>15497.25</v>
      </c>
      <c r="F431" s="17"/>
      <c r="G431" s="17">
        <v>1840.88</v>
      </c>
      <c r="H431" s="16"/>
      <c r="I431" s="17">
        <v>15497.25</v>
      </c>
      <c r="J431" s="17"/>
      <c r="K431" s="17">
        <v>1840.88</v>
      </c>
      <c r="L431" s="43"/>
      <c r="M431" s="17">
        <f>(L430+L432)/2*25</f>
        <v>14231.125</v>
      </c>
      <c r="N431" s="17"/>
      <c r="O431" s="17">
        <f>(N430+N432)/2*25</f>
        <v>1840.875</v>
      </c>
      <c r="P431" s="19">
        <f>I431+K431-M431-O431</f>
        <v>1266.13</v>
      </c>
    </row>
    <row r="432" ht="12" customHeight="1" spans="1:16">
      <c r="A432" s="14">
        <v>212</v>
      </c>
      <c r="B432" s="15" t="s">
        <v>227</v>
      </c>
      <c r="C432" s="18"/>
      <c r="D432" s="16">
        <v>600.2</v>
      </c>
      <c r="E432" s="17"/>
      <c r="F432" s="17">
        <v>72.76</v>
      </c>
      <c r="G432" s="17"/>
      <c r="H432" s="16">
        <v>600.2</v>
      </c>
      <c r="I432" s="17"/>
      <c r="J432" s="17">
        <v>72.76</v>
      </c>
      <c r="K432" s="17"/>
      <c r="L432" s="43">
        <v>542.67</v>
      </c>
      <c r="M432" s="17"/>
      <c r="N432" s="17">
        <v>72.76</v>
      </c>
      <c r="O432" s="17"/>
      <c r="P432" s="19"/>
    </row>
    <row r="433" ht="12" customHeight="1" spans="1:16">
      <c r="A433" s="14"/>
      <c r="B433" s="15"/>
      <c r="C433" s="18">
        <v>25</v>
      </c>
      <c r="D433" s="16"/>
      <c r="E433" s="17">
        <v>14806.63</v>
      </c>
      <c r="F433" s="17"/>
      <c r="G433" s="17">
        <v>1788.63</v>
      </c>
      <c r="H433" s="16"/>
      <c r="I433" s="17">
        <v>14806.63</v>
      </c>
      <c r="J433" s="17"/>
      <c r="K433" s="17">
        <v>1788.63</v>
      </c>
      <c r="L433" s="43"/>
      <c r="M433" s="17">
        <f>(L432+L434)/2*25</f>
        <v>13486.5</v>
      </c>
      <c r="N433" s="17"/>
      <c r="O433" s="17">
        <f>(N432+N434)/2*25</f>
        <v>1788.625</v>
      </c>
      <c r="P433" s="19">
        <f>I433+K433-M433-O433</f>
        <v>1320.135</v>
      </c>
    </row>
    <row r="434" ht="12" customHeight="1" spans="1:16">
      <c r="A434" s="14">
        <v>213</v>
      </c>
      <c r="B434" s="15" t="s">
        <v>228</v>
      </c>
      <c r="C434" s="18"/>
      <c r="D434" s="16">
        <v>584.33</v>
      </c>
      <c r="E434" s="17"/>
      <c r="F434" s="17">
        <v>70.33</v>
      </c>
      <c r="G434" s="17"/>
      <c r="H434" s="16">
        <v>584.33</v>
      </c>
      <c r="I434" s="17"/>
      <c r="J434" s="17">
        <v>70.33</v>
      </c>
      <c r="K434" s="17"/>
      <c r="L434" s="43">
        <v>536.25</v>
      </c>
      <c r="M434" s="17"/>
      <c r="N434" s="17">
        <v>70.33</v>
      </c>
      <c r="O434" s="17"/>
      <c r="P434" s="19"/>
    </row>
    <row r="435" ht="12" customHeight="1" spans="1:16">
      <c r="A435" s="14"/>
      <c r="B435" s="15"/>
      <c r="C435" s="23">
        <v>25</v>
      </c>
      <c r="D435" s="16"/>
      <c r="E435" s="17">
        <v>13389.63</v>
      </c>
      <c r="F435" s="17"/>
      <c r="G435" s="17">
        <v>1728</v>
      </c>
      <c r="H435" s="16"/>
      <c r="I435" s="17">
        <v>13389.63</v>
      </c>
      <c r="J435" s="17"/>
      <c r="K435" s="17">
        <v>1728</v>
      </c>
      <c r="L435" s="43"/>
      <c r="M435" s="17">
        <f>(L434+L436)/2*25</f>
        <v>12290.625</v>
      </c>
      <c r="N435" s="17"/>
      <c r="O435" s="17">
        <f>(N434+N436)/2*25</f>
        <v>1728</v>
      </c>
      <c r="P435" s="19">
        <f>I435+K435-M435-O435</f>
        <v>1099.005</v>
      </c>
    </row>
    <row r="436" ht="12" customHeight="1" spans="1:16">
      <c r="A436" s="14">
        <v>214</v>
      </c>
      <c r="B436" s="15" t="s">
        <v>229</v>
      </c>
      <c r="C436" s="25"/>
      <c r="D436" s="16">
        <v>486.84</v>
      </c>
      <c r="E436" s="17"/>
      <c r="F436" s="17">
        <v>67.91</v>
      </c>
      <c r="G436" s="17"/>
      <c r="H436" s="16">
        <v>486.84</v>
      </c>
      <c r="I436" s="17"/>
      <c r="J436" s="17">
        <v>67.91</v>
      </c>
      <c r="K436" s="17"/>
      <c r="L436" s="43">
        <v>447</v>
      </c>
      <c r="M436" s="17"/>
      <c r="N436" s="17">
        <v>67.91</v>
      </c>
      <c r="O436" s="17"/>
      <c r="P436" s="19"/>
    </row>
    <row r="437" ht="12" customHeight="1" spans="1:16">
      <c r="A437" s="14"/>
      <c r="B437" s="15"/>
      <c r="C437" s="18">
        <v>25</v>
      </c>
      <c r="D437" s="16"/>
      <c r="E437" s="17">
        <v>12585</v>
      </c>
      <c r="F437" s="17"/>
      <c r="G437" s="17">
        <v>1731.88</v>
      </c>
      <c r="H437" s="16"/>
      <c r="I437" s="17">
        <v>12585</v>
      </c>
      <c r="J437" s="17"/>
      <c r="K437" s="17">
        <v>1731.88</v>
      </c>
      <c r="L437" s="43"/>
      <c r="M437" s="17">
        <f>(L436+L438)/2*25</f>
        <v>11381.125</v>
      </c>
      <c r="N437" s="17"/>
      <c r="O437" s="17">
        <f>(N436+N438)/2*25</f>
        <v>1731.875</v>
      </c>
      <c r="P437" s="19">
        <f>I437+K437-M437-O437</f>
        <v>1203.88</v>
      </c>
    </row>
    <row r="438" ht="12" customHeight="1" spans="1:16">
      <c r="A438" s="14">
        <v>215</v>
      </c>
      <c r="B438" s="15" t="s">
        <v>230</v>
      </c>
      <c r="C438" s="18"/>
      <c r="D438" s="16">
        <v>519.96</v>
      </c>
      <c r="E438" s="17"/>
      <c r="F438" s="17">
        <v>70.64</v>
      </c>
      <c r="G438" s="17"/>
      <c r="H438" s="16">
        <v>519.96</v>
      </c>
      <c r="I438" s="17"/>
      <c r="J438" s="17">
        <v>70.64</v>
      </c>
      <c r="K438" s="17"/>
      <c r="L438" s="43">
        <v>463.49</v>
      </c>
      <c r="M438" s="17"/>
      <c r="N438" s="17">
        <v>70.64</v>
      </c>
      <c r="O438" s="17"/>
      <c r="P438" s="19"/>
    </row>
    <row r="439" ht="12" customHeight="1" spans="1:16">
      <c r="A439" s="14"/>
      <c r="B439" s="15"/>
      <c r="C439" s="18">
        <v>25</v>
      </c>
      <c r="D439" s="16"/>
      <c r="E439" s="17">
        <v>13605.88</v>
      </c>
      <c r="F439" s="17"/>
      <c r="G439" s="17">
        <v>1832.25</v>
      </c>
      <c r="H439" s="16"/>
      <c r="I439" s="17">
        <v>13605.88</v>
      </c>
      <c r="J439" s="17"/>
      <c r="K439" s="17">
        <v>1832.25</v>
      </c>
      <c r="L439" s="43"/>
      <c r="M439" s="17">
        <f>(L438+L440)/2*25</f>
        <v>12187</v>
      </c>
      <c r="N439" s="17"/>
      <c r="O439" s="17">
        <f>(N438+N440)/2*25</f>
        <v>1832.25</v>
      </c>
      <c r="P439" s="19">
        <f>I439+K439-M439-O439</f>
        <v>1418.88</v>
      </c>
    </row>
    <row r="440" ht="12" customHeight="1" spans="1:16">
      <c r="A440" s="14">
        <v>216</v>
      </c>
      <c r="B440" s="15" t="s">
        <v>231</v>
      </c>
      <c r="C440" s="18"/>
      <c r="D440" s="16">
        <v>568.51</v>
      </c>
      <c r="E440" s="17"/>
      <c r="F440" s="17">
        <v>75.94</v>
      </c>
      <c r="G440" s="17"/>
      <c r="H440" s="16">
        <v>568.51</v>
      </c>
      <c r="I440" s="17"/>
      <c r="J440" s="17">
        <v>75.94</v>
      </c>
      <c r="K440" s="17"/>
      <c r="L440" s="43">
        <v>511.47</v>
      </c>
      <c r="M440" s="17"/>
      <c r="N440" s="17">
        <v>75.94</v>
      </c>
      <c r="O440" s="17"/>
      <c r="P440" s="19"/>
    </row>
    <row r="441" ht="12" customHeight="1" spans="1:16">
      <c r="A441" s="14"/>
      <c r="B441" s="15"/>
      <c r="C441" s="23">
        <v>25</v>
      </c>
      <c r="D441" s="16"/>
      <c r="E441" s="17">
        <v>14820.5</v>
      </c>
      <c r="F441" s="17"/>
      <c r="G441" s="17">
        <v>1952.63</v>
      </c>
      <c r="H441" s="16"/>
      <c r="I441" s="17">
        <v>14820.5</v>
      </c>
      <c r="J441" s="17"/>
      <c r="K441" s="17">
        <v>1952.63</v>
      </c>
      <c r="L441" s="43"/>
      <c r="M441" s="17">
        <f>(L440+L442)/2*25</f>
        <v>13503.375</v>
      </c>
      <c r="N441" s="17"/>
      <c r="O441" s="17">
        <f>(N440+N442)/2*25</f>
        <v>1952.625</v>
      </c>
      <c r="P441" s="19">
        <f>I441+K441-M441-O441</f>
        <v>1317.13</v>
      </c>
    </row>
    <row r="442" ht="12" customHeight="1" spans="1:16">
      <c r="A442" s="14">
        <v>217</v>
      </c>
      <c r="B442" s="15" t="s">
        <v>232</v>
      </c>
      <c r="C442" s="25"/>
      <c r="D442" s="16">
        <v>617.13</v>
      </c>
      <c r="E442" s="17"/>
      <c r="F442" s="17">
        <v>80.27</v>
      </c>
      <c r="G442" s="17"/>
      <c r="H442" s="16">
        <v>617.13</v>
      </c>
      <c r="I442" s="17"/>
      <c r="J442" s="17">
        <v>80.27</v>
      </c>
      <c r="K442" s="17"/>
      <c r="L442" s="43">
        <v>568.8</v>
      </c>
      <c r="M442" s="17"/>
      <c r="N442" s="17">
        <v>80.27</v>
      </c>
      <c r="O442" s="17"/>
      <c r="P442" s="19"/>
    </row>
    <row r="443" ht="12" customHeight="1" spans="1:16">
      <c r="A443" s="14"/>
      <c r="B443" s="15"/>
      <c r="C443" s="18">
        <v>25</v>
      </c>
      <c r="D443" s="16"/>
      <c r="E443" s="17">
        <v>15566.13</v>
      </c>
      <c r="F443" s="17"/>
      <c r="G443" s="17">
        <v>1879</v>
      </c>
      <c r="H443" s="16"/>
      <c r="I443" s="17">
        <v>15566.13</v>
      </c>
      <c r="J443" s="17"/>
      <c r="K443" s="17">
        <v>1879</v>
      </c>
      <c r="L443" s="43"/>
      <c r="M443" s="17">
        <f>(L442+L444)/2*25</f>
        <v>14183.75</v>
      </c>
      <c r="N443" s="17"/>
      <c r="O443" s="17">
        <f>(N442+N444)/2*25</f>
        <v>1879</v>
      </c>
      <c r="P443" s="19">
        <f>I443+K443-M443-O443</f>
        <v>1382.38</v>
      </c>
    </row>
    <row r="444" ht="12" customHeight="1" spans="1:16">
      <c r="A444" s="14">
        <v>218</v>
      </c>
      <c r="B444" s="15" t="s">
        <v>233</v>
      </c>
      <c r="C444" s="18"/>
      <c r="D444" s="16">
        <v>628.16</v>
      </c>
      <c r="E444" s="17"/>
      <c r="F444" s="17">
        <v>70.05</v>
      </c>
      <c r="G444" s="17"/>
      <c r="H444" s="16">
        <v>628.16</v>
      </c>
      <c r="I444" s="17"/>
      <c r="J444" s="17">
        <v>70.05</v>
      </c>
      <c r="K444" s="17"/>
      <c r="L444" s="43">
        <v>565.9</v>
      </c>
      <c r="M444" s="17"/>
      <c r="N444" s="17">
        <v>70.05</v>
      </c>
      <c r="O444" s="17"/>
      <c r="P444" s="19"/>
    </row>
    <row r="445" ht="12" customHeight="1" spans="1:16">
      <c r="A445" s="14"/>
      <c r="B445" s="15"/>
      <c r="C445" s="18">
        <v>25</v>
      </c>
      <c r="D445" s="16"/>
      <c r="E445" s="17">
        <v>15212.63</v>
      </c>
      <c r="F445" s="17"/>
      <c r="G445" s="17">
        <v>1649.75</v>
      </c>
      <c r="H445" s="16"/>
      <c r="I445" s="17">
        <v>15212.63</v>
      </c>
      <c r="J445" s="17"/>
      <c r="K445" s="17">
        <v>1649.75</v>
      </c>
      <c r="L445" s="43"/>
      <c r="M445" s="17">
        <f>(L444+L446)/2*25</f>
        <v>13945</v>
      </c>
      <c r="N445" s="17"/>
      <c r="O445" s="17">
        <f>(N444+N446)/2*25</f>
        <v>1649.75</v>
      </c>
      <c r="P445" s="19">
        <f>I445+K445-M445-O445</f>
        <v>1267.63</v>
      </c>
    </row>
    <row r="446" ht="12" customHeight="1" spans="1:16">
      <c r="A446" s="14">
        <v>219</v>
      </c>
      <c r="B446" s="15" t="s">
        <v>234</v>
      </c>
      <c r="C446" s="18"/>
      <c r="D446" s="16">
        <v>588.85</v>
      </c>
      <c r="E446" s="17"/>
      <c r="F446" s="17">
        <v>61.93</v>
      </c>
      <c r="G446" s="17"/>
      <c r="H446" s="16">
        <v>588.85</v>
      </c>
      <c r="I446" s="17"/>
      <c r="J446" s="17">
        <v>61.93</v>
      </c>
      <c r="K446" s="17"/>
      <c r="L446" s="43">
        <v>549.7</v>
      </c>
      <c r="M446" s="17"/>
      <c r="N446" s="17">
        <v>61.93</v>
      </c>
      <c r="O446" s="17"/>
      <c r="P446" s="19"/>
    </row>
    <row r="447" ht="12" customHeight="1" spans="1:16">
      <c r="A447" s="14"/>
      <c r="B447" s="15"/>
      <c r="C447" s="23">
        <v>25</v>
      </c>
      <c r="D447" s="16"/>
      <c r="E447" s="17">
        <v>14046</v>
      </c>
      <c r="F447" s="17"/>
      <c r="G447" s="17">
        <v>1375.5</v>
      </c>
      <c r="H447" s="16"/>
      <c r="I447" s="17">
        <v>14046</v>
      </c>
      <c r="J447" s="17"/>
      <c r="K447" s="17">
        <v>1375.5</v>
      </c>
      <c r="L447" s="43"/>
      <c r="M447" s="17">
        <f>(L446+L448)/2*25</f>
        <v>12899.75</v>
      </c>
      <c r="N447" s="17"/>
      <c r="O447" s="17">
        <f>(N446+N448)/2*25</f>
        <v>1375.5</v>
      </c>
      <c r="P447" s="19">
        <f>I447+K447-M447-O447</f>
        <v>1146.25</v>
      </c>
    </row>
    <row r="448" ht="12" customHeight="1" spans="1:16">
      <c r="A448" s="14">
        <v>220</v>
      </c>
      <c r="B448" s="15" t="s">
        <v>235</v>
      </c>
      <c r="C448" s="25"/>
      <c r="D448" s="16">
        <v>534.83</v>
      </c>
      <c r="E448" s="17"/>
      <c r="F448" s="17">
        <v>48.11</v>
      </c>
      <c r="G448" s="17"/>
      <c r="H448" s="16">
        <v>534.83</v>
      </c>
      <c r="I448" s="17"/>
      <c r="J448" s="17">
        <v>48.11</v>
      </c>
      <c r="K448" s="17"/>
      <c r="L448" s="43">
        <v>482.28</v>
      </c>
      <c r="M448" s="17"/>
      <c r="N448" s="17">
        <v>48.11</v>
      </c>
      <c r="O448" s="17"/>
      <c r="P448" s="19"/>
    </row>
    <row r="449" ht="12" customHeight="1" spans="1:16">
      <c r="A449" s="14"/>
      <c r="B449" s="15"/>
      <c r="C449" s="18">
        <v>25</v>
      </c>
      <c r="D449" s="16"/>
      <c r="E449" s="17">
        <v>13759.5</v>
      </c>
      <c r="F449" s="17"/>
      <c r="G449" s="17">
        <v>1208.5</v>
      </c>
      <c r="H449" s="16"/>
      <c r="I449" s="17">
        <v>13759.5</v>
      </c>
      <c r="J449" s="17"/>
      <c r="K449" s="17">
        <v>1208.5</v>
      </c>
      <c r="L449" s="43"/>
      <c r="M449" s="17">
        <f>(L448+L450)/2*25</f>
        <v>12434.375</v>
      </c>
      <c r="N449" s="17"/>
      <c r="O449" s="17">
        <f>(N448+N450)/2*25</f>
        <v>1208.5</v>
      </c>
      <c r="P449" s="19">
        <f>I449+K449-M449-O449</f>
        <v>1325.125</v>
      </c>
    </row>
    <row r="450" ht="12" customHeight="1" spans="1:16">
      <c r="A450" s="14">
        <v>221</v>
      </c>
      <c r="B450" s="15" t="s">
        <v>236</v>
      </c>
      <c r="C450" s="18"/>
      <c r="D450" s="16">
        <v>565.93</v>
      </c>
      <c r="E450" s="17"/>
      <c r="F450" s="17">
        <v>48.57</v>
      </c>
      <c r="G450" s="17"/>
      <c r="H450" s="16">
        <v>565.93</v>
      </c>
      <c r="I450" s="17"/>
      <c r="J450" s="17">
        <v>48.57</v>
      </c>
      <c r="K450" s="17"/>
      <c r="L450" s="43">
        <v>512.47</v>
      </c>
      <c r="M450" s="17"/>
      <c r="N450" s="17">
        <v>48.57</v>
      </c>
      <c r="O450" s="17"/>
      <c r="P450" s="19"/>
    </row>
    <row r="451" ht="12" customHeight="1" spans="1:16">
      <c r="A451" s="14"/>
      <c r="B451" s="15"/>
      <c r="C451" s="18">
        <v>25</v>
      </c>
      <c r="D451" s="16"/>
      <c r="E451" s="17">
        <v>13792.5</v>
      </c>
      <c r="F451" s="17"/>
      <c r="G451" s="17">
        <v>1242.88</v>
      </c>
      <c r="H451" s="16"/>
      <c r="I451" s="17">
        <v>13792.5</v>
      </c>
      <c r="J451" s="17"/>
      <c r="K451" s="17">
        <v>1242.88</v>
      </c>
      <c r="L451" s="43"/>
      <c r="M451" s="17">
        <f>(L450+L452)/2*25</f>
        <v>12337.75</v>
      </c>
      <c r="N451" s="17"/>
      <c r="O451" s="17">
        <f>(N450+N452)/2*25</f>
        <v>1242.875</v>
      </c>
      <c r="P451" s="19">
        <f>I451+K451-M451-O451</f>
        <v>1454.755</v>
      </c>
    </row>
    <row r="452" ht="12" customHeight="1" spans="1:16">
      <c r="A452" s="14">
        <v>222</v>
      </c>
      <c r="B452" s="15" t="s">
        <v>237</v>
      </c>
      <c r="C452" s="18"/>
      <c r="D452" s="16">
        <v>537.47</v>
      </c>
      <c r="E452" s="17"/>
      <c r="F452" s="17">
        <v>50.86</v>
      </c>
      <c r="G452" s="17"/>
      <c r="H452" s="16">
        <v>537.47</v>
      </c>
      <c r="I452" s="17"/>
      <c r="J452" s="17">
        <v>50.86</v>
      </c>
      <c r="K452" s="17"/>
      <c r="L452" s="43">
        <v>474.55</v>
      </c>
      <c r="M452" s="17"/>
      <c r="N452" s="17">
        <v>50.86</v>
      </c>
      <c r="O452" s="17"/>
      <c r="P452" s="19"/>
    </row>
    <row r="453" ht="12" customHeight="1" spans="1:16">
      <c r="A453" s="14"/>
      <c r="B453" s="15"/>
      <c r="C453" s="23">
        <v>25</v>
      </c>
      <c r="D453" s="16"/>
      <c r="E453" s="17">
        <v>15171.13</v>
      </c>
      <c r="F453" s="17"/>
      <c r="G453" s="17">
        <v>1286.75</v>
      </c>
      <c r="H453" s="16"/>
      <c r="I453" s="17">
        <v>15171.13</v>
      </c>
      <c r="J453" s="17"/>
      <c r="K453" s="17">
        <v>1286.75</v>
      </c>
      <c r="L453" s="43"/>
      <c r="M453" s="17">
        <f>(L452+L454)/2*25</f>
        <v>13603.75</v>
      </c>
      <c r="N453" s="17"/>
      <c r="O453" s="17">
        <f>(N452+N454)/2*25</f>
        <v>1286.75</v>
      </c>
      <c r="P453" s="19">
        <f>I453+K453-M453-O453</f>
        <v>1567.38</v>
      </c>
    </row>
    <row r="454" ht="12" customHeight="1" spans="1:16">
      <c r="A454" s="14">
        <v>223</v>
      </c>
      <c r="B454" s="15" t="s">
        <v>238</v>
      </c>
      <c r="C454" s="25"/>
      <c r="D454" s="16">
        <v>676.22</v>
      </c>
      <c r="E454" s="17"/>
      <c r="F454" s="17">
        <v>52.08</v>
      </c>
      <c r="G454" s="17"/>
      <c r="H454" s="16">
        <v>676.22</v>
      </c>
      <c r="I454" s="17"/>
      <c r="J454" s="17">
        <v>52.08</v>
      </c>
      <c r="K454" s="17"/>
      <c r="L454" s="43">
        <v>613.75</v>
      </c>
      <c r="M454" s="17"/>
      <c r="N454" s="17">
        <v>52.08</v>
      </c>
      <c r="O454" s="17"/>
      <c r="P454" s="19"/>
    </row>
    <row r="455" ht="12" customHeight="1" spans="1:16">
      <c r="A455" s="14"/>
      <c r="B455" s="15"/>
      <c r="C455" s="18">
        <v>25</v>
      </c>
      <c r="D455" s="16"/>
      <c r="E455" s="17">
        <v>16845.13</v>
      </c>
      <c r="F455" s="17"/>
      <c r="G455" s="17">
        <v>1299.13</v>
      </c>
      <c r="H455" s="16"/>
      <c r="I455" s="17">
        <v>16845.13</v>
      </c>
      <c r="J455" s="17"/>
      <c r="K455" s="17">
        <v>1299.13</v>
      </c>
      <c r="L455" s="43"/>
      <c r="M455" s="17">
        <f>(L454+L456)/2*25</f>
        <v>15437.625</v>
      </c>
      <c r="N455" s="17"/>
      <c r="O455" s="17">
        <f>(N454+N456)/2*25</f>
        <v>1299.125</v>
      </c>
      <c r="P455" s="19">
        <f>I455+K455-M455-O455</f>
        <v>1407.51</v>
      </c>
    </row>
    <row r="456" ht="12" customHeight="1" spans="1:16">
      <c r="A456" s="14">
        <v>224</v>
      </c>
      <c r="B456" s="15" t="s">
        <v>239</v>
      </c>
      <c r="C456" s="18"/>
      <c r="D456" s="16">
        <v>671.39</v>
      </c>
      <c r="E456" s="17"/>
      <c r="F456" s="17">
        <v>51.85</v>
      </c>
      <c r="G456" s="17"/>
      <c r="H456" s="16">
        <v>671.39</v>
      </c>
      <c r="I456" s="17"/>
      <c r="J456" s="17">
        <v>51.85</v>
      </c>
      <c r="K456" s="17"/>
      <c r="L456" s="43">
        <v>621.26</v>
      </c>
      <c r="M456" s="17"/>
      <c r="N456" s="17">
        <v>51.85</v>
      </c>
      <c r="O456" s="17"/>
      <c r="P456" s="19"/>
    </row>
    <row r="457" ht="12" customHeight="1" spans="1:16">
      <c r="A457" s="14"/>
      <c r="B457" s="15"/>
      <c r="C457" s="18">
        <v>25</v>
      </c>
      <c r="D457" s="16"/>
      <c r="E457" s="17">
        <v>14764.38</v>
      </c>
      <c r="F457" s="17"/>
      <c r="G457" s="17">
        <v>1238.13</v>
      </c>
      <c r="H457" s="16"/>
      <c r="I457" s="17">
        <v>14764.38</v>
      </c>
      <c r="J457" s="17"/>
      <c r="K457" s="17">
        <v>1238.13</v>
      </c>
      <c r="L457" s="43"/>
      <c r="M457" s="17">
        <f>(L456+L458)/2*25</f>
        <v>14137.75</v>
      </c>
      <c r="N457" s="17"/>
      <c r="O457" s="17">
        <f>(N456+N458)/2*25</f>
        <v>1238.125</v>
      </c>
      <c r="P457" s="19">
        <f>I457+K457-M457-O457</f>
        <v>626.634999999998</v>
      </c>
    </row>
    <row r="458" ht="12" customHeight="1" spans="1:16">
      <c r="A458" s="14">
        <v>225</v>
      </c>
      <c r="B458" s="15" t="s">
        <v>240</v>
      </c>
      <c r="C458" s="18"/>
      <c r="D458" s="16">
        <v>509.76</v>
      </c>
      <c r="E458" s="17"/>
      <c r="F458" s="17">
        <v>47.2</v>
      </c>
      <c r="G458" s="17"/>
      <c r="H458" s="16">
        <v>509.76</v>
      </c>
      <c r="I458" s="17"/>
      <c r="J458" s="17">
        <v>47.2</v>
      </c>
      <c r="K458" s="17"/>
      <c r="L458" s="43">
        <v>509.76</v>
      </c>
      <c r="M458" s="17"/>
      <c r="N458" s="17">
        <v>47.2</v>
      </c>
      <c r="O458" s="17"/>
      <c r="P458" s="19"/>
    </row>
    <row r="459" ht="12" customHeight="1" spans="1:16">
      <c r="A459" s="14"/>
      <c r="B459" s="15"/>
      <c r="C459" s="23">
        <v>25</v>
      </c>
      <c r="D459" s="16"/>
      <c r="E459" s="17">
        <v>11926.63</v>
      </c>
      <c r="F459" s="17"/>
      <c r="G459" s="17">
        <v>1123.75</v>
      </c>
      <c r="H459" s="16"/>
      <c r="I459" s="17">
        <v>11926.63</v>
      </c>
      <c r="J459" s="17"/>
      <c r="K459" s="17">
        <v>1123.75</v>
      </c>
      <c r="L459" s="43"/>
      <c r="M459" s="17">
        <f>(L458+L460)/2*25</f>
        <v>11926.625</v>
      </c>
      <c r="N459" s="17"/>
      <c r="O459" s="17">
        <f>(N458+N460)/2*25</f>
        <v>1123.75</v>
      </c>
      <c r="P459" s="19">
        <f>I459+K459-M459-O459</f>
        <v>0.00499999999919964</v>
      </c>
    </row>
    <row r="460" ht="12" customHeight="1" spans="1:16">
      <c r="A460" s="14">
        <v>226</v>
      </c>
      <c r="B460" s="15" t="s">
        <v>241</v>
      </c>
      <c r="C460" s="25"/>
      <c r="D460" s="16">
        <v>444.37</v>
      </c>
      <c r="E460" s="17"/>
      <c r="F460" s="17">
        <v>42.7</v>
      </c>
      <c r="G460" s="17"/>
      <c r="H460" s="16">
        <v>444.37</v>
      </c>
      <c r="I460" s="17"/>
      <c r="J460" s="17">
        <v>42.7</v>
      </c>
      <c r="K460" s="17"/>
      <c r="L460" s="43">
        <v>444.37</v>
      </c>
      <c r="M460" s="17"/>
      <c r="N460" s="17">
        <v>42.7</v>
      </c>
      <c r="O460" s="17"/>
      <c r="P460" s="19"/>
    </row>
    <row r="461" ht="12" customHeight="1" spans="1:16">
      <c r="A461" s="14"/>
      <c r="B461" s="15"/>
      <c r="C461" s="18">
        <v>25</v>
      </c>
      <c r="D461" s="16"/>
      <c r="E461" s="17">
        <v>12282.5</v>
      </c>
      <c r="F461" s="17"/>
      <c r="G461" s="17">
        <v>1349.25</v>
      </c>
      <c r="H461" s="16"/>
      <c r="I461" s="17">
        <v>12282.5</v>
      </c>
      <c r="J461" s="17"/>
      <c r="K461" s="17">
        <v>1349.25</v>
      </c>
      <c r="L461" s="43"/>
      <c r="M461" s="17">
        <f>(L460+L462)/2*25</f>
        <v>12282.5</v>
      </c>
      <c r="N461" s="17"/>
      <c r="O461" s="17">
        <f>(N460+N462)/2*25</f>
        <v>1349.25</v>
      </c>
      <c r="P461" s="19">
        <f>I461+K461-M461-O461</f>
        <v>0</v>
      </c>
    </row>
    <row r="462" ht="12" customHeight="1" spans="1:16">
      <c r="A462" s="14">
        <v>227</v>
      </c>
      <c r="B462" s="15" t="s">
        <v>242</v>
      </c>
      <c r="C462" s="18"/>
      <c r="D462" s="16">
        <v>538.23</v>
      </c>
      <c r="E462" s="17"/>
      <c r="F462" s="17">
        <v>65.24</v>
      </c>
      <c r="G462" s="17"/>
      <c r="H462" s="16">
        <v>538.23</v>
      </c>
      <c r="I462" s="17"/>
      <c r="J462" s="17">
        <v>65.24</v>
      </c>
      <c r="K462" s="17"/>
      <c r="L462" s="43">
        <v>538.23</v>
      </c>
      <c r="M462" s="17"/>
      <c r="N462" s="17">
        <v>65.24</v>
      </c>
      <c r="O462" s="17"/>
      <c r="P462" s="19"/>
    </row>
    <row r="463" ht="12" customHeight="1" spans="1:16">
      <c r="A463" s="14"/>
      <c r="B463" s="15"/>
      <c r="C463" s="18">
        <v>25</v>
      </c>
      <c r="D463" s="16"/>
      <c r="E463" s="17">
        <v>13871.63</v>
      </c>
      <c r="F463" s="17"/>
      <c r="G463" s="17">
        <v>1770</v>
      </c>
      <c r="H463" s="16"/>
      <c r="I463" s="17">
        <v>13871.63</v>
      </c>
      <c r="J463" s="17"/>
      <c r="K463" s="17">
        <v>1770</v>
      </c>
      <c r="L463" s="43"/>
      <c r="M463" s="17">
        <f>(L462+L464)/2*25</f>
        <v>13871.625</v>
      </c>
      <c r="N463" s="17"/>
      <c r="O463" s="17">
        <f>(N462+N464)/2*25</f>
        <v>1770</v>
      </c>
      <c r="P463" s="19">
        <f>I463+K463-M463-O463</f>
        <v>0.00499999999919964</v>
      </c>
    </row>
    <row r="464" ht="12" customHeight="1" spans="1:16">
      <c r="A464" s="14">
        <v>228</v>
      </c>
      <c r="B464" s="15" t="s">
        <v>243</v>
      </c>
      <c r="C464" s="18"/>
      <c r="D464" s="16">
        <v>571.5</v>
      </c>
      <c r="E464" s="17"/>
      <c r="F464" s="17">
        <v>76.36</v>
      </c>
      <c r="G464" s="17"/>
      <c r="H464" s="16">
        <v>571.5</v>
      </c>
      <c r="I464" s="17"/>
      <c r="J464" s="17">
        <v>76.36</v>
      </c>
      <c r="K464" s="17"/>
      <c r="L464" s="43">
        <v>571.5</v>
      </c>
      <c r="M464" s="17"/>
      <c r="N464" s="17">
        <v>76.36</v>
      </c>
      <c r="O464" s="17"/>
      <c r="P464" s="19"/>
    </row>
    <row r="465" ht="12" customHeight="1" spans="1:16">
      <c r="A465" s="14"/>
      <c r="B465" s="15"/>
      <c r="C465" s="23">
        <v>25</v>
      </c>
      <c r="D465" s="16"/>
      <c r="E465" s="17">
        <v>13693.63</v>
      </c>
      <c r="F465" s="17"/>
      <c r="G465" s="17">
        <v>1822.13</v>
      </c>
      <c r="H465" s="16"/>
      <c r="I465" s="17">
        <v>13693.63</v>
      </c>
      <c r="J465" s="17"/>
      <c r="K465" s="17">
        <v>1822.13</v>
      </c>
      <c r="L465" s="43"/>
      <c r="M465" s="17">
        <f>(L464+L466)/2*25</f>
        <v>13693.625</v>
      </c>
      <c r="N465" s="17"/>
      <c r="O465" s="17">
        <v>1822.13</v>
      </c>
      <c r="P465" s="19">
        <f>I465+K465-M465-O465</f>
        <v>0.00499999999829015</v>
      </c>
    </row>
    <row r="466" ht="12" customHeight="1" spans="1:16">
      <c r="A466" s="14">
        <v>229</v>
      </c>
      <c r="B466" s="15" t="s">
        <v>244</v>
      </c>
      <c r="C466" s="25"/>
      <c r="D466" s="16">
        <v>523.99</v>
      </c>
      <c r="E466" s="17"/>
      <c r="F466" s="17">
        <v>69.41</v>
      </c>
      <c r="G466" s="17"/>
      <c r="H466" s="16">
        <v>523.99</v>
      </c>
      <c r="I466" s="17"/>
      <c r="J466" s="17">
        <v>69.41</v>
      </c>
      <c r="K466" s="17"/>
      <c r="L466" s="43">
        <v>523.99</v>
      </c>
      <c r="M466" s="17"/>
      <c r="N466" s="17">
        <v>69.41</v>
      </c>
      <c r="O466" s="17"/>
      <c r="P466" s="19"/>
    </row>
    <row r="467" ht="12" customHeight="1" spans="1:16">
      <c r="A467" s="14"/>
      <c r="B467" s="15"/>
      <c r="C467" s="18">
        <v>25</v>
      </c>
      <c r="D467" s="16"/>
      <c r="E467" s="17">
        <v>13476.88</v>
      </c>
      <c r="F467" s="17"/>
      <c r="G467" s="17">
        <v>1693.13</v>
      </c>
      <c r="H467" s="16"/>
      <c r="I467" s="17">
        <v>13476.88</v>
      </c>
      <c r="J467" s="17"/>
      <c r="K467" s="17">
        <v>1693.13</v>
      </c>
      <c r="L467" s="43"/>
      <c r="M467" s="17">
        <f>(L466+L468)/2*25</f>
        <v>13476.875</v>
      </c>
      <c r="N467" s="17"/>
      <c r="O467" s="17">
        <v>1693.13</v>
      </c>
      <c r="P467" s="19">
        <f>I467+K467-M467-O467</f>
        <v>0.00499999999647116</v>
      </c>
    </row>
    <row r="468" ht="12" customHeight="1" spans="1:16">
      <c r="A468" s="14">
        <v>230</v>
      </c>
      <c r="B468" s="15" t="s">
        <v>245</v>
      </c>
      <c r="C468" s="18"/>
      <c r="D468" s="16">
        <v>554.16</v>
      </c>
      <c r="E468" s="17"/>
      <c r="F468" s="17">
        <v>66.04</v>
      </c>
      <c r="G468" s="17"/>
      <c r="H468" s="16">
        <v>554.16</v>
      </c>
      <c r="I468" s="17"/>
      <c r="J468" s="17">
        <v>66.04</v>
      </c>
      <c r="K468" s="17"/>
      <c r="L468" s="43">
        <v>554.16</v>
      </c>
      <c r="M468" s="17"/>
      <c r="N468" s="17">
        <v>66.04</v>
      </c>
      <c r="O468" s="17"/>
      <c r="P468" s="19"/>
    </row>
    <row r="469" ht="12" customHeight="1" spans="1:16">
      <c r="A469" s="14"/>
      <c r="B469" s="15"/>
      <c r="C469" s="18">
        <v>25</v>
      </c>
      <c r="D469" s="16"/>
      <c r="E469" s="17">
        <v>13064.38</v>
      </c>
      <c r="F469" s="17"/>
      <c r="G469" s="17">
        <v>1589.38</v>
      </c>
      <c r="H469" s="16"/>
      <c r="I469" s="17">
        <v>13064.38</v>
      </c>
      <c r="J469" s="17"/>
      <c r="K469" s="17">
        <v>1589.38</v>
      </c>
      <c r="L469" s="43"/>
      <c r="M469" s="17">
        <f>(L468+L470)/2*25</f>
        <v>13064.375</v>
      </c>
      <c r="N469" s="17"/>
      <c r="O469" s="17">
        <v>1589.38</v>
      </c>
      <c r="P469" s="19">
        <f>I469+K469-M469-O469</f>
        <v>0.00499999999647116</v>
      </c>
    </row>
    <row r="470" ht="12" customHeight="1" spans="1:16">
      <c r="A470" s="14">
        <v>231</v>
      </c>
      <c r="B470" s="15" t="s">
        <v>246</v>
      </c>
      <c r="C470" s="18"/>
      <c r="D470" s="16">
        <v>490.99</v>
      </c>
      <c r="E470" s="17"/>
      <c r="F470" s="17">
        <v>61.11</v>
      </c>
      <c r="G470" s="17"/>
      <c r="H470" s="16">
        <v>490.99</v>
      </c>
      <c r="I470" s="17"/>
      <c r="J470" s="17">
        <v>61.11</v>
      </c>
      <c r="K470" s="17"/>
      <c r="L470" s="43">
        <v>490.99</v>
      </c>
      <c r="M470" s="17"/>
      <c r="N470" s="17">
        <v>61.11</v>
      </c>
      <c r="O470" s="17"/>
      <c r="P470" s="19"/>
    </row>
    <row r="471" ht="12" customHeight="1" spans="1:16">
      <c r="A471" s="14"/>
      <c r="B471" s="15"/>
      <c r="C471" s="23">
        <v>25</v>
      </c>
      <c r="D471" s="16"/>
      <c r="E471" s="17">
        <v>11709.13</v>
      </c>
      <c r="F471" s="17"/>
      <c r="G471" s="17">
        <v>1490.88</v>
      </c>
      <c r="H471" s="16"/>
      <c r="I471" s="17">
        <v>11709.13</v>
      </c>
      <c r="J471" s="17"/>
      <c r="K471" s="17">
        <v>1490.88</v>
      </c>
      <c r="L471" s="43"/>
      <c r="M471" s="17">
        <f>(L470+L472)/2*25</f>
        <v>11709.125</v>
      </c>
      <c r="N471" s="17"/>
      <c r="O471" s="17">
        <v>1490.88</v>
      </c>
      <c r="P471" s="19">
        <f>I471+K471-M471-O471</f>
        <v>0.00499999999829015</v>
      </c>
    </row>
    <row r="472" ht="12" customHeight="1" spans="1:16">
      <c r="A472" s="14">
        <v>232</v>
      </c>
      <c r="B472" s="15" t="s">
        <v>247</v>
      </c>
      <c r="C472" s="25"/>
      <c r="D472" s="16">
        <v>445.74</v>
      </c>
      <c r="E472" s="17"/>
      <c r="F472" s="17">
        <v>58.16</v>
      </c>
      <c r="G472" s="17"/>
      <c r="H472" s="16">
        <v>445.74</v>
      </c>
      <c r="I472" s="17"/>
      <c r="J472" s="17">
        <v>58.16</v>
      </c>
      <c r="K472" s="17"/>
      <c r="L472" s="43">
        <v>445.74</v>
      </c>
      <c r="M472" s="17"/>
      <c r="N472" s="17">
        <v>58.16</v>
      </c>
      <c r="O472" s="17"/>
      <c r="P472" s="19"/>
    </row>
    <row r="473" ht="12" customHeight="1" spans="1:16">
      <c r="A473" s="14"/>
      <c r="B473" s="15"/>
      <c r="C473" s="18">
        <v>25</v>
      </c>
      <c r="D473" s="16"/>
      <c r="E473" s="17">
        <v>10517.13</v>
      </c>
      <c r="F473" s="17"/>
      <c r="G473" s="17">
        <v>1336.75</v>
      </c>
      <c r="H473" s="16"/>
      <c r="I473" s="17">
        <v>10517.13</v>
      </c>
      <c r="J473" s="17"/>
      <c r="K473" s="17">
        <v>1336.75</v>
      </c>
      <c r="L473" s="43"/>
      <c r="M473" s="17">
        <f>(L472+L474)/2*25</f>
        <v>10517.125</v>
      </c>
      <c r="N473" s="17"/>
      <c r="O473" s="17">
        <v>1336.75</v>
      </c>
      <c r="P473" s="19">
        <f>I473+K473-M473-O473</f>
        <v>0.00499999999919964</v>
      </c>
    </row>
    <row r="474" ht="12" customHeight="1" spans="1:16">
      <c r="A474" s="14">
        <v>233</v>
      </c>
      <c r="B474" s="15" t="s">
        <v>248</v>
      </c>
      <c r="C474" s="18"/>
      <c r="D474" s="16">
        <v>395.63</v>
      </c>
      <c r="E474" s="17"/>
      <c r="F474" s="17">
        <v>48.78</v>
      </c>
      <c r="G474" s="17"/>
      <c r="H474" s="16">
        <v>395.63</v>
      </c>
      <c r="I474" s="17"/>
      <c r="J474" s="17">
        <v>48.78</v>
      </c>
      <c r="K474" s="17"/>
      <c r="L474" s="43">
        <v>395.63</v>
      </c>
      <c r="M474" s="17"/>
      <c r="N474" s="17">
        <v>48.78</v>
      </c>
      <c r="O474" s="17"/>
      <c r="P474" s="19"/>
    </row>
    <row r="475" ht="12" customHeight="1" spans="1:16">
      <c r="A475" s="14"/>
      <c r="B475" s="15"/>
      <c r="C475" s="18">
        <v>25</v>
      </c>
      <c r="D475" s="16"/>
      <c r="E475" s="17">
        <v>9622.5</v>
      </c>
      <c r="F475" s="17"/>
      <c r="G475" s="17">
        <v>1157.5</v>
      </c>
      <c r="H475" s="16"/>
      <c r="I475" s="17">
        <v>9622.5</v>
      </c>
      <c r="J475" s="17"/>
      <c r="K475" s="17">
        <v>1157.5</v>
      </c>
      <c r="L475" s="43"/>
      <c r="M475" s="17">
        <f>(L474+L476)/2*25</f>
        <v>9622.5</v>
      </c>
      <c r="N475" s="17"/>
      <c r="O475" s="17">
        <v>1157.5</v>
      </c>
      <c r="P475" s="19">
        <f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374.17</v>
      </c>
      <c r="E476" s="17"/>
      <c r="F476" s="17">
        <v>43.82</v>
      </c>
      <c r="G476" s="17"/>
      <c r="H476" s="16">
        <v>374.17</v>
      </c>
      <c r="I476" s="17"/>
      <c r="J476" s="17">
        <v>43.82</v>
      </c>
      <c r="K476" s="17"/>
      <c r="L476" s="43">
        <v>374.17</v>
      </c>
      <c r="M476" s="17"/>
      <c r="N476" s="17">
        <v>43.82</v>
      </c>
      <c r="O476" s="17"/>
      <c r="P476" s="19"/>
    </row>
    <row r="477" ht="12" customHeight="1" spans="1:16">
      <c r="A477" s="14"/>
      <c r="B477" s="15"/>
      <c r="C477" s="23">
        <v>25</v>
      </c>
      <c r="D477" s="16"/>
      <c r="E477" s="17">
        <v>8752.38</v>
      </c>
      <c r="F477" s="17"/>
      <c r="G477" s="17">
        <v>897.88</v>
      </c>
      <c r="H477" s="16"/>
      <c r="I477" s="17">
        <v>8752.38</v>
      </c>
      <c r="J477" s="17"/>
      <c r="K477" s="17">
        <v>897.88</v>
      </c>
      <c r="L477" s="43"/>
      <c r="M477" s="17">
        <f>(L476+L478)/2*25</f>
        <v>8752.375</v>
      </c>
      <c r="N477" s="17"/>
      <c r="O477" s="17">
        <v>897.88</v>
      </c>
      <c r="P477" s="19">
        <f>I477+K477-M477-O477</f>
        <v>0.00499999999840384</v>
      </c>
    </row>
    <row r="478" ht="12" customHeight="1" spans="1:16">
      <c r="A478" s="14">
        <v>235</v>
      </c>
      <c r="B478" s="15" t="s">
        <v>250</v>
      </c>
      <c r="C478" s="25"/>
      <c r="D478" s="16">
        <v>326.02</v>
      </c>
      <c r="E478" s="17"/>
      <c r="F478" s="17">
        <v>28.01</v>
      </c>
      <c r="G478" s="17"/>
      <c r="H478" s="16">
        <v>326.02</v>
      </c>
      <c r="I478" s="17"/>
      <c r="J478" s="17">
        <v>28.01</v>
      </c>
      <c r="K478" s="17"/>
      <c r="L478" s="43">
        <v>326.02</v>
      </c>
      <c r="M478" s="17"/>
      <c r="N478" s="17">
        <v>28.01</v>
      </c>
      <c r="O478" s="17"/>
      <c r="P478" s="19"/>
    </row>
    <row r="479" ht="12" customHeight="1" spans="1:16">
      <c r="A479" s="14"/>
      <c r="B479" s="15"/>
      <c r="C479" s="18">
        <v>25</v>
      </c>
      <c r="D479" s="16"/>
      <c r="E479" s="17">
        <v>7521.25</v>
      </c>
      <c r="F479" s="17"/>
      <c r="G479" s="17">
        <v>422.75</v>
      </c>
      <c r="H479" s="16"/>
      <c r="I479" s="17">
        <v>7521.25</v>
      </c>
      <c r="J479" s="17"/>
      <c r="K479" s="17">
        <v>422.75</v>
      </c>
      <c r="L479" s="43"/>
      <c r="M479" s="17">
        <f>(L478+L480)/2*25</f>
        <v>7521.25</v>
      </c>
      <c r="N479" s="17"/>
      <c r="O479" s="17">
        <v>422.75</v>
      </c>
      <c r="P479" s="19">
        <f>I479+K479-M479-O479</f>
        <v>-9.09494701772928e-13</v>
      </c>
    </row>
    <row r="480" ht="12" customHeight="1" spans="1:16">
      <c r="A480" s="14">
        <v>236</v>
      </c>
      <c r="B480" s="15" t="s">
        <v>251</v>
      </c>
      <c r="C480" s="18"/>
      <c r="D480" s="16">
        <v>275.68</v>
      </c>
      <c r="E480" s="17"/>
      <c r="F480" s="17">
        <v>5.81</v>
      </c>
      <c r="G480" s="17"/>
      <c r="H480" s="16">
        <v>275.68</v>
      </c>
      <c r="I480" s="17"/>
      <c r="J480" s="17">
        <v>5.81</v>
      </c>
      <c r="K480" s="17"/>
      <c r="L480" s="43">
        <v>275.68</v>
      </c>
      <c r="M480" s="17"/>
      <c r="N480" s="17">
        <v>5.81</v>
      </c>
      <c r="O480" s="17"/>
      <c r="P480" s="19"/>
    </row>
    <row r="481" ht="12" customHeight="1" spans="1:16">
      <c r="A481" s="14"/>
      <c r="B481" s="15"/>
      <c r="C481" s="18">
        <v>25</v>
      </c>
      <c r="D481" s="16"/>
      <c r="E481" s="24">
        <v>6694.13</v>
      </c>
      <c r="F481" s="17"/>
      <c r="G481" s="24">
        <v>72.63</v>
      </c>
      <c r="H481" s="16"/>
      <c r="I481" s="24">
        <v>6694.13</v>
      </c>
      <c r="J481" s="17"/>
      <c r="K481" s="24">
        <v>72.63</v>
      </c>
      <c r="L481" s="43"/>
      <c r="M481" s="17">
        <v>6694.13</v>
      </c>
      <c r="N481" s="17"/>
      <c r="O481" s="17">
        <v>72.63</v>
      </c>
      <c r="P481" s="19">
        <f>I481+K481-M481-O481</f>
        <v>1.13686837721616e-13</v>
      </c>
    </row>
    <row r="482" ht="12" customHeight="1" spans="1:16">
      <c r="A482" s="14">
        <v>237</v>
      </c>
      <c r="B482" s="15" t="s">
        <v>252</v>
      </c>
      <c r="C482" s="18"/>
      <c r="D482" s="16">
        <v>259.85</v>
      </c>
      <c r="E482" s="26"/>
      <c r="F482" s="17">
        <v>0</v>
      </c>
      <c r="G482" s="26"/>
      <c r="H482" s="16">
        <v>259.85</v>
      </c>
      <c r="I482" s="26"/>
      <c r="J482" s="17">
        <v>0</v>
      </c>
      <c r="K482" s="26"/>
      <c r="L482" s="43">
        <v>259.85</v>
      </c>
      <c r="M482" s="17"/>
      <c r="N482" s="17">
        <v>0</v>
      </c>
      <c r="O482" s="17"/>
      <c r="P482" s="19"/>
    </row>
    <row r="483" ht="12" customHeight="1" spans="1:16">
      <c r="A483" s="14"/>
      <c r="B483" s="15"/>
      <c r="C483" s="23">
        <v>25</v>
      </c>
      <c r="D483" s="16"/>
      <c r="E483" s="17">
        <v>6792</v>
      </c>
      <c r="F483" s="17"/>
      <c r="G483" s="17">
        <v>0</v>
      </c>
      <c r="H483" s="16"/>
      <c r="I483" s="17">
        <v>6792</v>
      </c>
      <c r="J483" s="17"/>
      <c r="K483" s="17">
        <v>0</v>
      </c>
      <c r="L483" s="43"/>
      <c r="M483" s="17">
        <v>6792</v>
      </c>
      <c r="N483" s="17"/>
      <c r="O483" s="17">
        <v>0</v>
      </c>
      <c r="P483" s="19">
        <f>I483+K483-M483-O483</f>
        <v>0</v>
      </c>
    </row>
    <row r="484" ht="12" customHeight="1" spans="1:16">
      <c r="A484" s="14">
        <v>238</v>
      </c>
      <c r="B484" s="15" t="s">
        <v>253</v>
      </c>
      <c r="C484" s="25"/>
      <c r="D484" s="16">
        <v>283.51</v>
      </c>
      <c r="E484" s="17"/>
      <c r="F484" s="17">
        <v>0</v>
      </c>
      <c r="G484" s="17"/>
      <c r="H484" s="16">
        <v>283.51</v>
      </c>
      <c r="I484" s="17"/>
      <c r="J484" s="17">
        <v>0</v>
      </c>
      <c r="K484" s="17"/>
      <c r="L484" s="43">
        <v>283.51</v>
      </c>
      <c r="M484" s="17"/>
      <c r="N484" s="17">
        <v>0</v>
      </c>
      <c r="O484" s="17"/>
      <c r="P484" s="19"/>
    </row>
    <row r="485" ht="12" customHeight="1" spans="1:16">
      <c r="A485" s="14"/>
      <c r="B485" s="15"/>
      <c r="C485" s="18">
        <v>25</v>
      </c>
      <c r="D485" s="16"/>
      <c r="E485" s="17">
        <v>6826.5</v>
      </c>
      <c r="F485" s="17"/>
      <c r="G485" s="17">
        <v>0</v>
      </c>
      <c r="H485" s="16"/>
      <c r="I485" s="17">
        <v>6826.5</v>
      </c>
      <c r="J485" s="17"/>
      <c r="K485" s="17">
        <v>0</v>
      </c>
      <c r="L485" s="43"/>
      <c r="M485" s="17">
        <v>6826.5</v>
      </c>
      <c r="N485" s="17"/>
      <c r="O485" s="17">
        <v>0</v>
      </c>
      <c r="P485" s="19">
        <f>I485+K485-M485-O485</f>
        <v>0</v>
      </c>
    </row>
    <row r="486" ht="12" customHeight="1" spans="1:16">
      <c r="A486" s="14">
        <v>239</v>
      </c>
      <c r="B486" s="15" t="s">
        <v>254</v>
      </c>
      <c r="C486" s="18"/>
      <c r="D486" s="16">
        <v>262.61</v>
      </c>
      <c r="E486" s="17"/>
      <c r="F486" s="17">
        <v>0</v>
      </c>
      <c r="G486" s="17"/>
      <c r="H486" s="16">
        <v>262.61</v>
      </c>
      <c r="I486" s="17"/>
      <c r="J486" s="17">
        <v>0</v>
      </c>
      <c r="K486" s="17"/>
      <c r="L486" s="43">
        <v>262.61</v>
      </c>
      <c r="M486" s="17"/>
      <c r="N486" s="17">
        <v>0</v>
      </c>
      <c r="O486" s="17"/>
      <c r="P486" s="19"/>
    </row>
    <row r="487" ht="12" customHeight="1" spans="1:16">
      <c r="A487" s="14"/>
      <c r="B487" s="15"/>
      <c r="C487" s="18">
        <v>25</v>
      </c>
      <c r="D487" s="16"/>
      <c r="E487" s="17">
        <v>7658.75</v>
      </c>
      <c r="F487" s="17"/>
      <c r="G487" s="17">
        <v>0</v>
      </c>
      <c r="H487" s="16"/>
      <c r="I487" s="17">
        <v>7658.75</v>
      </c>
      <c r="J487" s="17"/>
      <c r="K487" s="17">
        <v>0</v>
      </c>
      <c r="L487" s="43"/>
      <c r="M487" s="17">
        <v>7658.75</v>
      </c>
      <c r="N487" s="17"/>
      <c r="O487" s="17">
        <v>0</v>
      </c>
      <c r="P487" s="19">
        <f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350.09</v>
      </c>
      <c r="E488" s="17"/>
      <c r="F488" s="17">
        <v>0</v>
      </c>
      <c r="G488" s="17"/>
      <c r="H488" s="16">
        <v>350.09</v>
      </c>
      <c r="I488" s="17"/>
      <c r="J488" s="17">
        <v>0</v>
      </c>
      <c r="K488" s="17"/>
      <c r="L488" s="43">
        <v>350.09</v>
      </c>
      <c r="M488" s="17"/>
      <c r="N488" s="17">
        <v>0</v>
      </c>
      <c r="O488" s="17"/>
      <c r="P488" s="19"/>
    </row>
    <row r="489" ht="12" customHeight="1" spans="1:16">
      <c r="A489" s="14"/>
      <c r="B489" s="15"/>
      <c r="C489" s="23">
        <v>25</v>
      </c>
      <c r="D489" s="16"/>
      <c r="E489" s="17">
        <v>9071.75</v>
      </c>
      <c r="F489" s="17"/>
      <c r="G489" s="17">
        <v>0</v>
      </c>
      <c r="H489" s="16"/>
      <c r="I489" s="17">
        <v>9071.75</v>
      </c>
      <c r="J489" s="17"/>
      <c r="K489" s="17">
        <v>0</v>
      </c>
      <c r="L489" s="43"/>
      <c r="M489" s="17">
        <v>9071.75</v>
      </c>
      <c r="N489" s="17"/>
      <c r="O489" s="17">
        <v>0</v>
      </c>
      <c r="P489" s="19">
        <f>I489+K489-M489-O489</f>
        <v>0</v>
      </c>
    </row>
    <row r="490" ht="12" customHeight="1" spans="1:16">
      <c r="A490" s="14">
        <v>241</v>
      </c>
      <c r="B490" s="15" t="s">
        <v>256</v>
      </c>
      <c r="C490" s="25"/>
      <c r="D490" s="16">
        <v>375.65</v>
      </c>
      <c r="E490" s="17"/>
      <c r="F490" s="17">
        <v>0</v>
      </c>
      <c r="G490" s="17"/>
      <c r="H490" s="16">
        <v>375.65</v>
      </c>
      <c r="I490" s="17"/>
      <c r="J490" s="17">
        <v>0</v>
      </c>
      <c r="K490" s="17"/>
      <c r="L490" s="43">
        <v>375.65</v>
      </c>
      <c r="M490" s="17"/>
      <c r="N490" s="17">
        <v>0</v>
      </c>
      <c r="O490" s="17"/>
      <c r="P490" s="19"/>
    </row>
    <row r="491" ht="12" customHeight="1" spans="1:16">
      <c r="A491" s="14"/>
      <c r="B491" s="15"/>
      <c r="C491" s="18">
        <v>25</v>
      </c>
      <c r="D491" s="16"/>
      <c r="E491" s="17">
        <v>8382.75</v>
      </c>
      <c r="F491" s="17"/>
      <c r="G491" s="17">
        <v>0</v>
      </c>
      <c r="H491" s="16"/>
      <c r="I491" s="17">
        <v>8382.75</v>
      </c>
      <c r="J491" s="17"/>
      <c r="K491" s="17">
        <v>0</v>
      </c>
      <c r="L491" s="43"/>
      <c r="M491" s="17">
        <v>8382.75</v>
      </c>
      <c r="N491" s="17"/>
      <c r="O491" s="17">
        <v>0</v>
      </c>
      <c r="P491" s="19">
        <f>I491+K491-M491-O491</f>
        <v>0</v>
      </c>
    </row>
    <row r="492" ht="12" customHeight="1" spans="1:16">
      <c r="A492" s="14">
        <v>242</v>
      </c>
      <c r="B492" s="15" t="s">
        <v>257</v>
      </c>
      <c r="C492" s="18"/>
      <c r="D492" s="16">
        <v>294.97</v>
      </c>
      <c r="E492" s="17"/>
      <c r="F492" s="17">
        <v>0</v>
      </c>
      <c r="G492" s="17"/>
      <c r="H492" s="16">
        <v>294.97</v>
      </c>
      <c r="I492" s="17"/>
      <c r="J492" s="17">
        <v>0</v>
      </c>
      <c r="K492" s="17"/>
      <c r="L492" s="43">
        <v>294.97</v>
      </c>
      <c r="M492" s="17"/>
      <c r="N492" s="17">
        <v>0</v>
      </c>
      <c r="O492" s="17"/>
      <c r="P492" s="19"/>
    </row>
    <row r="493" ht="12" customHeight="1" spans="1:16">
      <c r="A493" s="14"/>
      <c r="B493" s="15"/>
      <c r="C493" s="18">
        <v>25</v>
      </c>
      <c r="D493" s="16"/>
      <c r="E493" s="17">
        <v>7801.75</v>
      </c>
      <c r="F493" s="17"/>
      <c r="G493" s="17">
        <v>0</v>
      </c>
      <c r="H493" s="16"/>
      <c r="I493" s="17">
        <v>7801.75</v>
      </c>
      <c r="J493" s="17"/>
      <c r="K493" s="17">
        <v>0</v>
      </c>
      <c r="L493" s="43"/>
      <c r="M493" s="17">
        <v>7801.75</v>
      </c>
      <c r="N493" s="17"/>
      <c r="O493" s="17">
        <v>0</v>
      </c>
      <c r="P493" s="19">
        <f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329.17</v>
      </c>
      <c r="E494" s="17"/>
      <c r="F494" s="17">
        <v>0</v>
      </c>
      <c r="G494" s="17"/>
      <c r="H494" s="16">
        <v>329.17</v>
      </c>
      <c r="I494" s="17"/>
      <c r="J494" s="17">
        <v>0</v>
      </c>
      <c r="K494" s="17"/>
      <c r="L494" s="43">
        <v>329.17</v>
      </c>
      <c r="M494" s="17"/>
      <c r="N494" s="17">
        <v>0</v>
      </c>
      <c r="O494" s="17"/>
      <c r="P494" s="19"/>
    </row>
    <row r="495" ht="12" customHeight="1" spans="1:16">
      <c r="A495" s="14"/>
      <c r="B495" s="15"/>
      <c r="C495" s="23">
        <v>25</v>
      </c>
      <c r="D495" s="16"/>
      <c r="E495" s="17">
        <v>7935.5</v>
      </c>
      <c r="F495" s="17"/>
      <c r="G495" s="17">
        <v>0</v>
      </c>
      <c r="H495" s="16"/>
      <c r="I495" s="17">
        <v>7935.5</v>
      </c>
      <c r="J495" s="17"/>
      <c r="K495" s="17">
        <v>0</v>
      </c>
      <c r="L495" s="43"/>
      <c r="M495" s="17">
        <v>7935.5</v>
      </c>
      <c r="N495" s="17"/>
      <c r="O495" s="17">
        <v>0</v>
      </c>
      <c r="P495" s="19">
        <f>I495+K495-M495-O495</f>
        <v>0</v>
      </c>
    </row>
    <row r="496" ht="12" customHeight="1" spans="1:16">
      <c r="A496" s="14">
        <v>244</v>
      </c>
      <c r="B496" s="15" t="s">
        <v>259</v>
      </c>
      <c r="C496" s="25"/>
      <c r="D496" s="16">
        <v>305.67</v>
      </c>
      <c r="E496" s="17"/>
      <c r="F496" s="17">
        <v>0</v>
      </c>
      <c r="G496" s="17"/>
      <c r="H496" s="16">
        <v>305.67</v>
      </c>
      <c r="I496" s="17"/>
      <c r="J496" s="17">
        <v>0</v>
      </c>
      <c r="K496" s="17"/>
      <c r="L496" s="43">
        <v>305.67</v>
      </c>
      <c r="M496" s="17"/>
      <c r="N496" s="17">
        <v>0</v>
      </c>
      <c r="O496" s="17"/>
      <c r="P496" s="19"/>
    </row>
    <row r="497" ht="12" customHeight="1" spans="1:16">
      <c r="A497" s="14"/>
      <c r="B497" s="15"/>
      <c r="C497" s="18">
        <v>25</v>
      </c>
      <c r="D497" s="16"/>
      <c r="E497" s="17">
        <v>7486.75</v>
      </c>
      <c r="F497" s="17"/>
      <c r="G497" s="17">
        <v>0</v>
      </c>
      <c r="H497" s="16"/>
      <c r="I497" s="17">
        <v>7486.75</v>
      </c>
      <c r="J497" s="17"/>
      <c r="K497" s="17">
        <v>0</v>
      </c>
      <c r="L497" s="43"/>
      <c r="M497" s="17">
        <v>7486.75</v>
      </c>
      <c r="N497" s="17"/>
      <c r="O497" s="17">
        <v>0</v>
      </c>
      <c r="P497" s="19">
        <f>I497+K497-M497-O497</f>
        <v>0</v>
      </c>
    </row>
    <row r="498" ht="12" customHeight="1" spans="1:16">
      <c r="A498" s="14">
        <v>245</v>
      </c>
      <c r="B498" s="15" t="s">
        <v>260</v>
      </c>
      <c r="C498" s="18"/>
      <c r="D498" s="16">
        <v>293.27</v>
      </c>
      <c r="E498" s="17"/>
      <c r="F498" s="17">
        <v>0</v>
      </c>
      <c r="G498" s="17"/>
      <c r="H498" s="16">
        <v>293.27</v>
      </c>
      <c r="I498" s="17"/>
      <c r="J498" s="17">
        <v>0</v>
      </c>
      <c r="K498" s="17"/>
      <c r="L498" s="43">
        <v>293.27</v>
      </c>
      <c r="M498" s="17"/>
      <c r="N498" s="17">
        <v>0</v>
      </c>
      <c r="O498" s="17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43"/>
      <c r="M499" s="44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D500:F500" si="0">SUM(E10:E499)</f>
        <v>2654095.36</v>
      </c>
      <c r="F500" s="30"/>
      <c r="G500" s="31">
        <f>SUM(G10:G499)</f>
        <v>233195.39</v>
      </c>
      <c r="H500" s="31"/>
      <c r="I500" s="31">
        <f t="shared" ref="I500:M500" si="1">SUM(I10:I499)</f>
        <v>2517232.07</v>
      </c>
      <c r="J500" s="31"/>
      <c r="K500" s="31">
        <f t="shared" si="1"/>
        <v>233194.89</v>
      </c>
      <c r="L500" s="30"/>
      <c r="M500" s="31">
        <f>SUM(M10:M499)</f>
        <v>2307557.63</v>
      </c>
      <c r="N500" s="30"/>
      <c r="O500" s="31">
        <f>SUM(O10:O499)</f>
        <v>233194.61</v>
      </c>
      <c r="P500" s="31">
        <f>SUM(P10:P499)</f>
        <v>209674.72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45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46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45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46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46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45"/>
      <c r="M506" s="34"/>
      <c r="N506" s="34"/>
      <c r="O506" s="34"/>
      <c r="P506" s="34"/>
    </row>
    <row r="507" ht="14.4" spans="1:16">
      <c r="A507" s="34" t="s">
        <v>268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45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47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48"/>
      <c r="M509" s="37"/>
      <c r="N509" s="37"/>
      <c r="O509" s="37"/>
      <c r="P509" s="37">
        <f>P500+'2级淤泥 '!P500+'3级淤泥  '!P500+'1级填土'!P500+'5级粘土'!P500</f>
        <v>281727.24</v>
      </c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P511"/>
  <sheetViews>
    <sheetView view="pageBreakPreview" zoomScaleNormal="100" workbookViewId="0">
      <pane xSplit="2" ySplit="9" topLeftCell="C480" activePane="bottomRight" state="frozen"/>
      <selection/>
      <selection pane="topRight"/>
      <selection pane="bottomLeft"/>
      <selection pane="bottomRight" activeCell="Z500" sqref="Z500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270</v>
      </c>
      <c r="E7" s="7"/>
      <c r="F7" s="7"/>
      <c r="G7" s="7"/>
      <c r="H7" s="8" t="s">
        <v>271</v>
      </c>
      <c r="I7" s="7"/>
      <c r="J7" s="7"/>
      <c r="K7" s="7"/>
      <c r="L7" s="8" t="s">
        <v>272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>
        <v>0</v>
      </c>
      <c r="I10" s="13"/>
      <c r="J10" s="17">
        <v>0</v>
      </c>
      <c r="K10" s="13"/>
      <c r="L10" s="17">
        <v>0</v>
      </c>
      <c r="M10" s="11"/>
      <c r="N10" s="17">
        <v>0</v>
      </c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>
        <v>0</v>
      </c>
      <c r="J11" s="17"/>
      <c r="K11" s="17">
        <v>0</v>
      </c>
      <c r="L11" s="17"/>
      <c r="M11" s="17">
        <v>0</v>
      </c>
      <c r="N11" s="17"/>
      <c r="O11" s="17">
        <v>0</v>
      </c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>
        <v>0</v>
      </c>
      <c r="I12" s="17"/>
      <c r="J12" s="17">
        <v>0</v>
      </c>
      <c r="K12" s="17"/>
      <c r="L12" s="17">
        <v>0</v>
      </c>
      <c r="M12" s="17"/>
      <c r="N12" s="17">
        <v>0</v>
      </c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>
        <v>0</v>
      </c>
      <c r="J13" s="17"/>
      <c r="K13" s="17">
        <v>0</v>
      </c>
      <c r="L13" s="17"/>
      <c r="M13" s="17">
        <v>0</v>
      </c>
      <c r="N13" s="17"/>
      <c r="O13" s="17">
        <v>0</v>
      </c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>
        <v>0</v>
      </c>
      <c r="I14" s="17"/>
      <c r="J14" s="17">
        <v>0</v>
      </c>
      <c r="K14" s="17"/>
      <c r="L14" s="17">
        <v>0</v>
      </c>
      <c r="M14" s="17"/>
      <c r="N14" s="17">
        <v>0</v>
      </c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>
        <v>0</v>
      </c>
      <c r="J15" s="17"/>
      <c r="K15" s="17">
        <v>0</v>
      </c>
      <c r="L15" s="17"/>
      <c r="M15" s="17">
        <v>0</v>
      </c>
      <c r="N15" s="17"/>
      <c r="O15" s="17">
        <v>0</v>
      </c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>
        <v>0</v>
      </c>
      <c r="I16" s="17"/>
      <c r="J16" s="17">
        <v>0</v>
      </c>
      <c r="K16" s="17"/>
      <c r="L16" s="17">
        <v>0</v>
      </c>
      <c r="M16" s="17"/>
      <c r="N16" s="17">
        <v>0</v>
      </c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>
        <v>0</v>
      </c>
      <c r="J17" s="17"/>
      <c r="K17" s="17">
        <v>0</v>
      </c>
      <c r="L17" s="17"/>
      <c r="M17" s="17">
        <v>0</v>
      </c>
      <c r="N17" s="17"/>
      <c r="O17" s="17">
        <v>0</v>
      </c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>
        <v>0</v>
      </c>
      <c r="I18" s="17"/>
      <c r="J18" s="17">
        <v>0</v>
      </c>
      <c r="K18" s="17"/>
      <c r="L18" s="17">
        <v>0</v>
      </c>
      <c r="M18" s="17"/>
      <c r="N18" s="17">
        <v>0</v>
      </c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>
        <v>0</v>
      </c>
      <c r="J19" s="17"/>
      <c r="K19" s="17">
        <v>0</v>
      </c>
      <c r="L19" s="17"/>
      <c r="M19" s="17">
        <v>0</v>
      </c>
      <c r="N19" s="17"/>
      <c r="O19" s="17">
        <v>0</v>
      </c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>
        <v>0</v>
      </c>
      <c r="I20" s="17"/>
      <c r="J20" s="17">
        <v>0</v>
      </c>
      <c r="K20" s="17"/>
      <c r="L20" s="17">
        <v>0</v>
      </c>
      <c r="M20" s="17"/>
      <c r="N20" s="17">
        <v>0</v>
      </c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>
        <v>0</v>
      </c>
      <c r="J21" s="17"/>
      <c r="K21" s="17">
        <v>0</v>
      </c>
      <c r="L21" s="17"/>
      <c r="M21" s="17">
        <v>0</v>
      </c>
      <c r="N21" s="17"/>
      <c r="O21" s="17">
        <v>0</v>
      </c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>
        <v>0</v>
      </c>
      <c r="I22" s="17"/>
      <c r="J22" s="17">
        <v>0</v>
      </c>
      <c r="K22" s="17"/>
      <c r="L22" s="17">
        <v>0</v>
      </c>
      <c r="M22" s="17"/>
      <c r="N22" s="17">
        <v>0</v>
      </c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>
        <v>0</v>
      </c>
      <c r="J23" s="17"/>
      <c r="K23" s="17">
        <v>0</v>
      </c>
      <c r="L23" s="17"/>
      <c r="M23" s="17">
        <v>0</v>
      </c>
      <c r="N23" s="17"/>
      <c r="O23" s="17">
        <v>0</v>
      </c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>
        <v>0</v>
      </c>
      <c r="I24" s="17"/>
      <c r="J24" s="17">
        <v>0</v>
      </c>
      <c r="K24" s="17"/>
      <c r="L24" s="17">
        <v>0</v>
      </c>
      <c r="M24" s="17"/>
      <c r="N24" s="17">
        <v>0</v>
      </c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>
        <v>0</v>
      </c>
      <c r="J25" s="17"/>
      <c r="K25" s="17">
        <v>0</v>
      </c>
      <c r="L25" s="17"/>
      <c r="M25" s="17">
        <v>0</v>
      </c>
      <c r="N25" s="17"/>
      <c r="O25" s="17">
        <v>0</v>
      </c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>
        <v>0</v>
      </c>
      <c r="I26" s="17"/>
      <c r="J26" s="17">
        <v>0</v>
      </c>
      <c r="K26" s="17"/>
      <c r="L26" s="17">
        <v>0</v>
      </c>
      <c r="M26" s="17"/>
      <c r="N26" s="17">
        <v>0</v>
      </c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>
        <v>0</v>
      </c>
      <c r="J27" s="17"/>
      <c r="K27" s="17">
        <v>0</v>
      </c>
      <c r="L27" s="17"/>
      <c r="M27" s="17">
        <v>0</v>
      </c>
      <c r="N27" s="17"/>
      <c r="O27" s="17">
        <v>0</v>
      </c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>
        <v>0</v>
      </c>
      <c r="I28" s="17"/>
      <c r="J28" s="17">
        <v>0</v>
      </c>
      <c r="K28" s="17"/>
      <c r="L28" s="17">
        <v>0</v>
      </c>
      <c r="M28" s="17"/>
      <c r="N28" s="17">
        <v>0</v>
      </c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>
        <v>0</v>
      </c>
      <c r="J29" s="17"/>
      <c r="K29" s="17">
        <v>0</v>
      </c>
      <c r="L29" s="17"/>
      <c r="M29" s="17">
        <v>0</v>
      </c>
      <c r="N29" s="17"/>
      <c r="O29" s="17">
        <v>0</v>
      </c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>
        <v>0</v>
      </c>
      <c r="I30" s="17"/>
      <c r="J30" s="17">
        <v>0</v>
      </c>
      <c r="K30" s="17"/>
      <c r="L30" s="17">
        <v>0</v>
      </c>
      <c r="M30" s="17"/>
      <c r="N30" s="17">
        <v>0</v>
      </c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>
        <v>0</v>
      </c>
      <c r="J31" s="17"/>
      <c r="K31" s="17">
        <v>0</v>
      </c>
      <c r="L31" s="17"/>
      <c r="M31" s="17">
        <v>0</v>
      </c>
      <c r="N31" s="17"/>
      <c r="O31" s="17">
        <v>0</v>
      </c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>
        <v>0</v>
      </c>
      <c r="I32" s="17"/>
      <c r="J32" s="17">
        <v>0</v>
      </c>
      <c r="K32" s="17"/>
      <c r="L32" s="17">
        <v>0</v>
      </c>
      <c r="M32" s="17"/>
      <c r="N32" s="17">
        <v>0</v>
      </c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>
        <v>0</v>
      </c>
      <c r="J33" s="17"/>
      <c r="K33" s="20">
        <v>0</v>
      </c>
      <c r="L33" s="17"/>
      <c r="M33" s="20">
        <v>0</v>
      </c>
      <c r="N33" s="17"/>
      <c r="O33" s="20">
        <v>0</v>
      </c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>
        <v>0</v>
      </c>
      <c r="I34" s="21"/>
      <c r="J34" s="17">
        <v>0</v>
      </c>
      <c r="K34" s="21"/>
      <c r="L34" s="17">
        <v>0</v>
      </c>
      <c r="M34" s="21"/>
      <c r="N34" s="17">
        <v>0</v>
      </c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>
        <v>0</v>
      </c>
      <c r="J35" s="17"/>
      <c r="K35" s="17">
        <v>0</v>
      </c>
      <c r="L35" s="17"/>
      <c r="M35" s="22">
        <v>0</v>
      </c>
      <c r="N35" s="17"/>
      <c r="O35" s="22">
        <v>0</v>
      </c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>
        <v>0</v>
      </c>
      <c r="I36" s="17"/>
      <c r="J36" s="17">
        <v>0</v>
      </c>
      <c r="K36" s="17"/>
      <c r="L36" s="17">
        <v>0</v>
      </c>
      <c r="M36" s="22"/>
      <c r="N36" s="17">
        <v>0</v>
      </c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>
        <v>0</v>
      </c>
      <c r="J37" s="17"/>
      <c r="K37" s="17">
        <v>0</v>
      </c>
      <c r="L37" s="17"/>
      <c r="M37" s="22">
        <v>0</v>
      </c>
      <c r="N37" s="17"/>
      <c r="O37" s="22">
        <v>0</v>
      </c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>
        <v>0</v>
      </c>
      <c r="I38" s="17"/>
      <c r="J38" s="17">
        <v>0</v>
      </c>
      <c r="K38" s="17"/>
      <c r="L38" s="17">
        <v>0</v>
      </c>
      <c r="M38" s="22"/>
      <c r="N38" s="17">
        <v>0</v>
      </c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>
        <v>0</v>
      </c>
      <c r="J39" s="17"/>
      <c r="K39" s="17">
        <v>0</v>
      </c>
      <c r="L39" s="17"/>
      <c r="M39" s="22">
        <v>0</v>
      </c>
      <c r="N39" s="17"/>
      <c r="O39" s="22">
        <v>0</v>
      </c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>
        <v>0</v>
      </c>
      <c r="I40" s="17"/>
      <c r="J40" s="17">
        <v>0</v>
      </c>
      <c r="K40" s="17"/>
      <c r="L40" s="17">
        <v>0</v>
      </c>
      <c r="M40" s="22"/>
      <c r="N40" s="17">
        <v>0</v>
      </c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>
        <v>0</v>
      </c>
      <c r="J41" s="17"/>
      <c r="K41" s="17">
        <v>0</v>
      </c>
      <c r="L41" s="17"/>
      <c r="M41" s="22">
        <v>0</v>
      </c>
      <c r="N41" s="17"/>
      <c r="O41" s="22">
        <v>0</v>
      </c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>
        <v>0</v>
      </c>
      <c r="I42" s="17"/>
      <c r="J42" s="17">
        <v>0</v>
      </c>
      <c r="K42" s="17"/>
      <c r="L42" s="17">
        <v>0</v>
      </c>
      <c r="M42" s="22"/>
      <c r="N42" s="17">
        <v>0</v>
      </c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>
        <v>0</v>
      </c>
      <c r="J43" s="17"/>
      <c r="K43" s="17">
        <v>0</v>
      </c>
      <c r="L43" s="17"/>
      <c r="M43" s="22">
        <v>0</v>
      </c>
      <c r="N43" s="17"/>
      <c r="O43" s="22">
        <v>0</v>
      </c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>
        <v>0</v>
      </c>
      <c r="I44" s="17"/>
      <c r="J44" s="17">
        <v>0</v>
      </c>
      <c r="K44" s="17"/>
      <c r="L44" s="17">
        <v>0</v>
      </c>
      <c r="M44" s="22"/>
      <c r="N44" s="17">
        <v>0</v>
      </c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>
        <v>0</v>
      </c>
      <c r="J45" s="17"/>
      <c r="K45" s="17">
        <v>0</v>
      </c>
      <c r="L45" s="17"/>
      <c r="M45" s="22">
        <v>0</v>
      </c>
      <c r="N45" s="17"/>
      <c r="O45" s="22">
        <v>0</v>
      </c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>
        <v>0</v>
      </c>
      <c r="I46" s="17"/>
      <c r="J46" s="17">
        <v>0</v>
      </c>
      <c r="K46" s="17"/>
      <c r="L46" s="17">
        <v>0</v>
      </c>
      <c r="M46" s="22"/>
      <c r="N46" s="17">
        <v>0</v>
      </c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>
        <v>0</v>
      </c>
      <c r="J47" s="17"/>
      <c r="K47" s="17">
        <v>0</v>
      </c>
      <c r="L47" s="17"/>
      <c r="M47" s="22">
        <v>0</v>
      </c>
      <c r="N47" s="17"/>
      <c r="O47" s="22">
        <v>0</v>
      </c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>
        <v>0</v>
      </c>
      <c r="I48" s="17"/>
      <c r="J48" s="17">
        <v>0</v>
      </c>
      <c r="K48" s="17"/>
      <c r="L48" s="17">
        <v>0</v>
      </c>
      <c r="M48" s="22"/>
      <c r="N48" s="17">
        <v>0</v>
      </c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>
        <v>0</v>
      </c>
      <c r="J49" s="17"/>
      <c r="K49" s="17">
        <v>0</v>
      </c>
      <c r="L49" s="17"/>
      <c r="M49" s="22">
        <v>0</v>
      </c>
      <c r="N49" s="17"/>
      <c r="O49" s="22">
        <v>0</v>
      </c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>
        <v>0</v>
      </c>
      <c r="I50" s="17"/>
      <c r="J50" s="17">
        <v>0</v>
      </c>
      <c r="K50" s="17"/>
      <c r="L50" s="17">
        <v>0</v>
      </c>
      <c r="M50" s="22"/>
      <c r="N50" s="17">
        <v>0</v>
      </c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>
        <v>0</v>
      </c>
      <c r="J51" s="17"/>
      <c r="K51" s="17">
        <v>0</v>
      </c>
      <c r="L51" s="17"/>
      <c r="M51" s="22">
        <v>0</v>
      </c>
      <c r="N51" s="17"/>
      <c r="O51" s="22">
        <v>0</v>
      </c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>
        <v>0</v>
      </c>
      <c r="I52" s="17"/>
      <c r="J52" s="17">
        <v>0</v>
      </c>
      <c r="K52" s="17"/>
      <c r="L52" s="17">
        <v>0</v>
      </c>
      <c r="M52" s="22"/>
      <c r="N52" s="17">
        <v>0</v>
      </c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>
        <v>0</v>
      </c>
      <c r="J53" s="17"/>
      <c r="K53" s="17">
        <v>0</v>
      </c>
      <c r="L53" s="17"/>
      <c r="M53" s="22">
        <v>0</v>
      </c>
      <c r="N53" s="17"/>
      <c r="O53" s="22">
        <v>0</v>
      </c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>
        <v>0</v>
      </c>
      <c r="I54" s="17"/>
      <c r="J54" s="17">
        <v>0</v>
      </c>
      <c r="K54" s="17"/>
      <c r="L54" s="17">
        <v>0</v>
      </c>
      <c r="M54" s="22"/>
      <c r="N54" s="17">
        <v>0</v>
      </c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>
        <v>0</v>
      </c>
      <c r="J55" s="17"/>
      <c r="K55" s="17">
        <v>0</v>
      </c>
      <c r="L55" s="17"/>
      <c r="M55" s="22">
        <v>0</v>
      </c>
      <c r="N55" s="17"/>
      <c r="O55" s="22">
        <v>0</v>
      </c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>
        <v>0</v>
      </c>
      <c r="I56" s="17"/>
      <c r="J56" s="17">
        <v>0</v>
      </c>
      <c r="K56" s="17"/>
      <c r="L56" s="17">
        <v>0</v>
      </c>
      <c r="M56" s="22"/>
      <c r="N56" s="17">
        <v>0</v>
      </c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>
        <v>0</v>
      </c>
      <c r="J57" s="17"/>
      <c r="K57" s="17">
        <v>0</v>
      </c>
      <c r="L57" s="17"/>
      <c r="M57" s="22">
        <v>0</v>
      </c>
      <c r="N57" s="17"/>
      <c r="O57" s="22">
        <v>0</v>
      </c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>
        <v>0</v>
      </c>
      <c r="I58" s="17"/>
      <c r="J58" s="17">
        <v>0</v>
      </c>
      <c r="K58" s="17"/>
      <c r="L58" s="17">
        <v>0</v>
      </c>
      <c r="M58" s="22"/>
      <c r="N58" s="17">
        <v>0</v>
      </c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>
        <v>0</v>
      </c>
      <c r="J59" s="17"/>
      <c r="K59" s="17">
        <v>0</v>
      </c>
      <c r="L59" s="17"/>
      <c r="M59" s="22">
        <v>0</v>
      </c>
      <c r="N59" s="17"/>
      <c r="O59" s="22">
        <v>0</v>
      </c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>
        <v>0</v>
      </c>
      <c r="I60" s="17"/>
      <c r="J60" s="17">
        <v>0</v>
      </c>
      <c r="K60" s="17"/>
      <c r="L60" s="17">
        <v>0</v>
      </c>
      <c r="M60" s="22"/>
      <c r="N60" s="17">
        <v>0</v>
      </c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>
        <v>0</v>
      </c>
      <c r="J61" s="17"/>
      <c r="K61" s="17">
        <v>0</v>
      </c>
      <c r="L61" s="17"/>
      <c r="M61" s="22">
        <v>0</v>
      </c>
      <c r="N61" s="17"/>
      <c r="O61" s="22">
        <v>0</v>
      </c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>
        <v>0</v>
      </c>
      <c r="I62" s="17"/>
      <c r="J62" s="17">
        <v>0</v>
      </c>
      <c r="K62" s="17"/>
      <c r="L62" s="17">
        <v>0</v>
      </c>
      <c r="M62" s="22"/>
      <c r="N62" s="17">
        <v>0</v>
      </c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>
        <v>0</v>
      </c>
      <c r="J63" s="17"/>
      <c r="K63" s="17">
        <v>0</v>
      </c>
      <c r="L63" s="17"/>
      <c r="M63" s="22">
        <v>0</v>
      </c>
      <c r="N63" s="17"/>
      <c r="O63" s="22">
        <v>0</v>
      </c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>
        <v>0</v>
      </c>
      <c r="I64" s="17"/>
      <c r="J64" s="17">
        <v>0</v>
      </c>
      <c r="K64" s="17"/>
      <c r="L64" s="17">
        <v>0</v>
      </c>
      <c r="M64" s="22"/>
      <c r="N64" s="17">
        <v>0</v>
      </c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>
        <v>0</v>
      </c>
      <c r="J65" s="17"/>
      <c r="K65" s="17">
        <v>0</v>
      </c>
      <c r="L65" s="17"/>
      <c r="M65" s="22">
        <v>0</v>
      </c>
      <c r="N65" s="17"/>
      <c r="O65" s="22">
        <v>0</v>
      </c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>
        <v>0</v>
      </c>
      <c r="I66" s="17"/>
      <c r="J66" s="17">
        <v>0</v>
      </c>
      <c r="K66" s="17"/>
      <c r="L66" s="17">
        <v>0</v>
      </c>
      <c r="M66" s="22"/>
      <c r="N66" s="17">
        <v>0</v>
      </c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>
        <v>0</v>
      </c>
      <c r="J67" s="17"/>
      <c r="K67" s="17">
        <v>0</v>
      </c>
      <c r="L67" s="17"/>
      <c r="M67" s="22">
        <v>0</v>
      </c>
      <c r="N67" s="17"/>
      <c r="O67" s="22">
        <v>0</v>
      </c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>
        <v>0</v>
      </c>
      <c r="I68" s="17"/>
      <c r="J68" s="17">
        <v>0</v>
      </c>
      <c r="K68" s="17"/>
      <c r="L68" s="17">
        <v>0</v>
      </c>
      <c r="M68" s="22"/>
      <c r="N68" s="17">
        <v>0</v>
      </c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>
        <v>0</v>
      </c>
      <c r="J69" s="17"/>
      <c r="K69" s="17">
        <v>0</v>
      </c>
      <c r="L69" s="17"/>
      <c r="M69" s="22">
        <v>0</v>
      </c>
      <c r="N69" s="17"/>
      <c r="O69" s="22">
        <v>0</v>
      </c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>
        <v>0</v>
      </c>
      <c r="I70" s="17"/>
      <c r="J70" s="17">
        <v>0</v>
      </c>
      <c r="K70" s="17"/>
      <c r="L70" s="17">
        <v>0</v>
      </c>
      <c r="M70" s="22"/>
      <c r="N70" s="17">
        <v>0</v>
      </c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>
        <v>0</v>
      </c>
      <c r="J71" s="17"/>
      <c r="K71" s="17">
        <v>0</v>
      </c>
      <c r="L71" s="17"/>
      <c r="M71" s="22">
        <v>0</v>
      </c>
      <c r="N71" s="17"/>
      <c r="O71" s="22">
        <v>0</v>
      </c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>
        <v>0</v>
      </c>
      <c r="I72" s="17"/>
      <c r="J72" s="17">
        <v>0</v>
      </c>
      <c r="K72" s="17"/>
      <c r="L72" s="17">
        <v>0</v>
      </c>
      <c r="M72" s="22"/>
      <c r="N72" s="17">
        <v>0</v>
      </c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>
        <v>0</v>
      </c>
      <c r="J73" s="17"/>
      <c r="K73" s="17">
        <v>0</v>
      </c>
      <c r="L73" s="17"/>
      <c r="M73" s="22">
        <v>0</v>
      </c>
      <c r="N73" s="17"/>
      <c r="O73" s="22">
        <v>0</v>
      </c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>
        <v>0</v>
      </c>
      <c r="I74" s="17"/>
      <c r="J74" s="17">
        <v>0</v>
      </c>
      <c r="K74" s="17"/>
      <c r="L74" s="17">
        <v>0</v>
      </c>
      <c r="M74" s="22"/>
      <c r="N74" s="17">
        <v>0</v>
      </c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>
        <v>0</v>
      </c>
      <c r="J75" s="17"/>
      <c r="K75" s="17">
        <v>0</v>
      </c>
      <c r="L75" s="17"/>
      <c r="M75" s="22">
        <v>0</v>
      </c>
      <c r="N75" s="17"/>
      <c r="O75" s="22">
        <v>0</v>
      </c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>
        <v>0</v>
      </c>
      <c r="I76" s="17"/>
      <c r="J76" s="17">
        <v>0</v>
      </c>
      <c r="K76" s="17"/>
      <c r="L76" s="17">
        <v>0</v>
      </c>
      <c r="M76" s="22"/>
      <c r="N76" s="17">
        <v>0</v>
      </c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>
        <v>0</v>
      </c>
      <c r="J77" s="17"/>
      <c r="K77" s="17">
        <v>0</v>
      </c>
      <c r="L77" s="17"/>
      <c r="M77" s="22">
        <v>0</v>
      </c>
      <c r="N77" s="17"/>
      <c r="O77" s="22">
        <v>0</v>
      </c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>
        <v>0</v>
      </c>
      <c r="I78" s="17"/>
      <c r="J78" s="17">
        <v>0</v>
      </c>
      <c r="K78" s="17"/>
      <c r="L78" s="17">
        <v>0</v>
      </c>
      <c r="M78" s="22"/>
      <c r="N78" s="17">
        <v>0</v>
      </c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>
        <v>0</v>
      </c>
      <c r="J79" s="17"/>
      <c r="K79" s="17">
        <v>0</v>
      </c>
      <c r="L79" s="17"/>
      <c r="M79" s="22">
        <v>0</v>
      </c>
      <c r="N79" s="17"/>
      <c r="O79" s="22">
        <v>0</v>
      </c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>
        <v>0</v>
      </c>
      <c r="I80" s="17"/>
      <c r="J80" s="17">
        <v>0</v>
      </c>
      <c r="K80" s="17"/>
      <c r="L80" s="17">
        <v>0</v>
      </c>
      <c r="M80" s="22"/>
      <c r="N80" s="17">
        <v>0</v>
      </c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>
        <v>0</v>
      </c>
      <c r="J81" s="17"/>
      <c r="K81" s="17">
        <v>0</v>
      </c>
      <c r="L81" s="17"/>
      <c r="M81" s="22">
        <v>0</v>
      </c>
      <c r="N81" s="17"/>
      <c r="O81" s="22">
        <v>0</v>
      </c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>
        <v>0</v>
      </c>
      <c r="I82" s="17"/>
      <c r="J82" s="17">
        <v>0</v>
      </c>
      <c r="K82" s="17"/>
      <c r="L82" s="17">
        <v>0</v>
      </c>
      <c r="M82" s="22"/>
      <c r="N82" s="17">
        <v>0</v>
      </c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>
        <v>0</v>
      </c>
      <c r="J83" s="17"/>
      <c r="K83" s="17">
        <v>0</v>
      </c>
      <c r="L83" s="17"/>
      <c r="M83" s="22">
        <v>0</v>
      </c>
      <c r="N83" s="17"/>
      <c r="O83" s="22">
        <v>0</v>
      </c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>
        <v>0</v>
      </c>
      <c r="I84" s="17"/>
      <c r="J84" s="17">
        <v>0</v>
      </c>
      <c r="K84" s="17"/>
      <c r="L84" s="17">
        <v>0</v>
      </c>
      <c r="M84" s="22"/>
      <c r="N84" s="17">
        <v>0</v>
      </c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>
        <v>0</v>
      </c>
      <c r="J85" s="17"/>
      <c r="K85" s="17">
        <v>0</v>
      </c>
      <c r="L85" s="17"/>
      <c r="M85" s="22">
        <v>0</v>
      </c>
      <c r="N85" s="17"/>
      <c r="O85" s="22">
        <v>0</v>
      </c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>
        <v>0</v>
      </c>
      <c r="I86" s="17"/>
      <c r="J86" s="17">
        <v>0</v>
      </c>
      <c r="K86" s="17"/>
      <c r="L86" s="17">
        <v>0</v>
      </c>
      <c r="M86" s="22"/>
      <c r="N86" s="17">
        <v>0</v>
      </c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>
        <v>0</v>
      </c>
      <c r="J87" s="17"/>
      <c r="K87" s="17">
        <v>0</v>
      </c>
      <c r="L87" s="17"/>
      <c r="M87" s="22">
        <v>0</v>
      </c>
      <c r="N87" s="17"/>
      <c r="O87" s="22">
        <v>0</v>
      </c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>
        <v>0</v>
      </c>
      <c r="I88" s="17"/>
      <c r="J88" s="17">
        <v>0</v>
      </c>
      <c r="K88" s="17"/>
      <c r="L88" s="17">
        <v>0</v>
      </c>
      <c r="M88" s="22"/>
      <c r="N88" s="17">
        <v>0</v>
      </c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>
        <v>0</v>
      </c>
      <c r="J89" s="17"/>
      <c r="K89" s="17">
        <v>0</v>
      </c>
      <c r="L89" s="17"/>
      <c r="M89" s="22">
        <v>0</v>
      </c>
      <c r="N89" s="17"/>
      <c r="O89" s="22">
        <v>0</v>
      </c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>
        <v>0</v>
      </c>
      <c r="I90" s="17"/>
      <c r="J90" s="17">
        <v>0</v>
      </c>
      <c r="K90" s="17"/>
      <c r="L90" s="17">
        <v>0</v>
      </c>
      <c r="M90" s="22"/>
      <c r="N90" s="17">
        <v>0</v>
      </c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>
        <v>0</v>
      </c>
      <c r="J91" s="17"/>
      <c r="K91" s="17">
        <v>0</v>
      </c>
      <c r="L91" s="17"/>
      <c r="M91" s="22">
        <v>0</v>
      </c>
      <c r="N91" s="17"/>
      <c r="O91" s="22">
        <v>0</v>
      </c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>
        <v>0</v>
      </c>
      <c r="I92" s="17"/>
      <c r="J92" s="17">
        <v>0</v>
      </c>
      <c r="K92" s="17"/>
      <c r="L92" s="17">
        <v>0</v>
      </c>
      <c r="M92" s="22"/>
      <c r="N92" s="17">
        <v>0</v>
      </c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>
        <v>0</v>
      </c>
      <c r="J93" s="17"/>
      <c r="K93" s="17">
        <v>0</v>
      </c>
      <c r="L93" s="17"/>
      <c r="M93" s="22">
        <v>0</v>
      </c>
      <c r="N93" s="17"/>
      <c r="O93" s="22">
        <v>0</v>
      </c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>
        <v>0</v>
      </c>
      <c r="I94" s="17"/>
      <c r="J94" s="17">
        <v>0</v>
      </c>
      <c r="K94" s="17"/>
      <c r="L94" s="17">
        <v>0</v>
      </c>
      <c r="M94" s="22"/>
      <c r="N94" s="17">
        <v>0</v>
      </c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>
        <v>0</v>
      </c>
      <c r="J95" s="17"/>
      <c r="K95" s="17">
        <v>0</v>
      </c>
      <c r="L95" s="17"/>
      <c r="M95" s="22">
        <v>0</v>
      </c>
      <c r="N95" s="17"/>
      <c r="O95" s="22">
        <v>0</v>
      </c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>
        <v>0</v>
      </c>
      <c r="I96" s="17"/>
      <c r="J96" s="17">
        <v>0</v>
      </c>
      <c r="K96" s="17"/>
      <c r="L96" s="17">
        <v>0</v>
      </c>
      <c r="M96" s="22"/>
      <c r="N96" s="17">
        <v>0</v>
      </c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>
        <v>0</v>
      </c>
      <c r="J97" s="17"/>
      <c r="K97" s="17">
        <v>0</v>
      </c>
      <c r="L97" s="17"/>
      <c r="M97" s="22">
        <v>0</v>
      </c>
      <c r="N97" s="17"/>
      <c r="O97" s="22">
        <v>0</v>
      </c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>
        <v>0</v>
      </c>
      <c r="I98" s="17"/>
      <c r="J98" s="17">
        <v>0</v>
      </c>
      <c r="K98" s="17"/>
      <c r="L98" s="17">
        <v>0</v>
      </c>
      <c r="M98" s="22"/>
      <c r="N98" s="17">
        <v>0</v>
      </c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>
        <v>0</v>
      </c>
      <c r="J99" s="17"/>
      <c r="K99" s="17">
        <v>0</v>
      </c>
      <c r="L99" s="17"/>
      <c r="M99" s="22">
        <v>0</v>
      </c>
      <c r="N99" s="17"/>
      <c r="O99" s="22">
        <v>0</v>
      </c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>
        <v>0</v>
      </c>
      <c r="I100" s="17"/>
      <c r="J100" s="17">
        <v>0</v>
      </c>
      <c r="K100" s="17"/>
      <c r="L100" s="17">
        <v>0</v>
      </c>
      <c r="M100" s="22"/>
      <c r="N100" s="17">
        <v>0</v>
      </c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>
        <v>0</v>
      </c>
      <c r="J101" s="17"/>
      <c r="K101" s="17">
        <v>0</v>
      </c>
      <c r="L101" s="17"/>
      <c r="M101" s="22">
        <v>0</v>
      </c>
      <c r="N101" s="17"/>
      <c r="O101" s="22">
        <v>0</v>
      </c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>
        <v>0</v>
      </c>
      <c r="I102" s="17"/>
      <c r="J102" s="17">
        <v>0</v>
      </c>
      <c r="K102" s="17"/>
      <c r="L102" s="17">
        <v>0</v>
      </c>
      <c r="M102" s="22"/>
      <c r="N102" s="17">
        <v>0</v>
      </c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>
        <v>0</v>
      </c>
      <c r="J103" s="17"/>
      <c r="K103" s="17">
        <v>0</v>
      </c>
      <c r="L103" s="17"/>
      <c r="M103" s="22">
        <v>0</v>
      </c>
      <c r="N103" s="17"/>
      <c r="O103" s="22">
        <v>0</v>
      </c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>
        <v>0</v>
      </c>
      <c r="I104" s="17"/>
      <c r="J104" s="17">
        <v>0</v>
      </c>
      <c r="K104" s="17"/>
      <c r="L104" s="17">
        <v>0</v>
      </c>
      <c r="M104" s="22"/>
      <c r="N104" s="17">
        <v>0</v>
      </c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>
        <v>0</v>
      </c>
      <c r="J105" s="17"/>
      <c r="K105" s="17">
        <v>0</v>
      </c>
      <c r="L105" s="17"/>
      <c r="M105" s="22">
        <v>0</v>
      </c>
      <c r="N105" s="17"/>
      <c r="O105" s="22">
        <v>0</v>
      </c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>
        <v>0</v>
      </c>
      <c r="I106" s="17"/>
      <c r="J106" s="17">
        <v>0</v>
      </c>
      <c r="K106" s="17"/>
      <c r="L106" s="17">
        <v>0</v>
      </c>
      <c r="M106" s="22"/>
      <c r="N106" s="17">
        <v>0</v>
      </c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>
        <v>0</v>
      </c>
      <c r="J107" s="17"/>
      <c r="K107" s="17">
        <v>0</v>
      </c>
      <c r="L107" s="17"/>
      <c r="M107" s="22">
        <v>0</v>
      </c>
      <c r="N107" s="17"/>
      <c r="O107" s="22">
        <v>0</v>
      </c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>
        <v>0</v>
      </c>
      <c r="I108" s="17"/>
      <c r="J108" s="17">
        <v>0</v>
      </c>
      <c r="K108" s="17"/>
      <c r="L108" s="17">
        <v>0</v>
      </c>
      <c r="M108" s="22"/>
      <c r="N108" s="17">
        <v>0</v>
      </c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>
        <v>0</v>
      </c>
      <c r="J109" s="17"/>
      <c r="K109" s="17">
        <v>0</v>
      </c>
      <c r="L109" s="17"/>
      <c r="M109" s="22">
        <v>0</v>
      </c>
      <c r="N109" s="17"/>
      <c r="O109" s="22">
        <v>0</v>
      </c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>
        <v>0</v>
      </c>
      <c r="I110" s="17"/>
      <c r="J110" s="17">
        <v>0</v>
      </c>
      <c r="K110" s="17"/>
      <c r="L110" s="17">
        <v>0</v>
      </c>
      <c r="M110" s="22"/>
      <c r="N110" s="17">
        <v>0</v>
      </c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>
        <v>0</v>
      </c>
      <c r="J111" s="17"/>
      <c r="K111" s="17">
        <v>0</v>
      </c>
      <c r="L111" s="17"/>
      <c r="M111" s="22">
        <v>0</v>
      </c>
      <c r="N111" s="17"/>
      <c r="O111" s="22">
        <v>0</v>
      </c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>
        <v>0</v>
      </c>
      <c r="I112" s="17"/>
      <c r="J112" s="17">
        <v>0</v>
      </c>
      <c r="K112" s="17"/>
      <c r="L112" s="17">
        <v>0</v>
      </c>
      <c r="M112" s="22"/>
      <c r="N112" s="17">
        <v>0</v>
      </c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>
        <v>0</v>
      </c>
      <c r="J113" s="17"/>
      <c r="K113" s="17">
        <v>0</v>
      </c>
      <c r="L113" s="17"/>
      <c r="M113" s="22">
        <v>0</v>
      </c>
      <c r="N113" s="17"/>
      <c r="O113" s="22">
        <v>0</v>
      </c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>
        <v>0</v>
      </c>
      <c r="I114" s="17"/>
      <c r="J114" s="17">
        <v>0</v>
      </c>
      <c r="K114" s="17"/>
      <c r="L114" s="17">
        <v>0</v>
      </c>
      <c r="M114" s="22"/>
      <c r="N114" s="17">
        <v>0</v>
      </c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>
        <v>0</v>
      </c>
      <c r="J115" s="17"/>
      <c r="K115" s="17">
        <v>0</v>
      </c>
      <c r="L115" s="17"/>
      <c r="M115" s="22">
        <v>0</v>
      </c>
      <c r="N115" s="17"/>
      <c r="O115" s="22">
        <v>0</v>
      </c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>
        <v>0</v>
      </c>
      <c r="I116" s="17"/>
      <c r="J116" s="17">
        <v>0</v>
      </c>
      <c r="K116" s="17"/>
      <c r="L116" s="17">
        <v>0</v>
      </c>
      <c r="M116" s="22"/>
      <c r="N116" s="17">
        <v>0</v>
      </c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>
        <v>0</v>
      </c>
      <c r="J117" s="17"/>
      <c r="K117" s="17">
        <v>0</v>
      </c>
      <c r="L117" s="17"/>
      <c r="M117" s="22">
        <v>0</v>
      </c>
      <c r="N117" s="17"/>
      <c r="O117" s="22">
        <v>0</v>
      </c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>
        <v>0</v>
      </c>
      <c r="I118" s="17"/>
      <c r="J118" s="17">
        <v>0</v>
      </c>
      <c r="K118" s="17"/>
      <c r="L118" s="17">
        <v>0</v>
      </c>
      <c r="M118" s="22"/>
      <c r="N118" s="17">
        <v>0</v>
      </c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>
        <v>0</v>
      </c>
      <c r="J119" s="17"/>
      <c r="K119" s="17">
        <v>0</v>
      </c>
      <c r="L119" s="17"/>
      <c r="M119" s="22">
        <v>0</v>
      </c>
      <c r="N119" s="17"/>
      <c r="O119" s="22">
        <v>0</v>
      </c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>
        <v>0</v>
      </c>
      <c r="I120" s="17"/>
      <c r="J120" s="17">
        <v>0</v>
      </c>
      <c r="K120" s="17"/>
      <c r="L120" s="17">
        <v>0</v>
      </c>
      <c r="M120" s="22"/>
      <c r="N120" s="17">
        <v>0</v>
      </c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>
        <v>0</v>
      </c>
      <c r="J121" s="17"/>
      <c r="K121" s="17">
        <v>0</v>
      </c>
      <c r="L121" s="17"/>
      <c r="M121" s="22">
        <v>0</v>
      </c>
      <c r="N121" s="17"/>
      <c r="O121" s="22">
        <v>0</v>
      </c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>
        <v>0</v>
      </c>
      <c r="I122" s="17"/>
      <c r="J122" s="17">
        <v>0</v>
      </c>
      <c r="K122" s="17"/>
      <c r="L122" s="17">
        <v>0</v>
      </c>
      <c r="M122" s="22"/>
      <c r="N122" s="17">
        <v>0</v>
      </c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>
        <v>0</v>
      </c>
      <c r="J123" s="17"/>
      <c r="K123" s="17">
        <v>0</v>
      </c>
      <c r="L123" s="17"/>
      <c r="M123" s="22">
        <v>0</v>
      </c>
      <c r="N123" s="17"/>
      <c r="O123" s="22">
        <v>0</v>
      </c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>
        <v>0</v>
      </c>
      <c r="I124" s="17"/>
      <c r="J124" s="17">
        <v>0</v>
      </c>
      <c r="K124" s="17"/>
      <c r="L124" s="17">
        <v>0</v>
      </c>
      <c r="M124" s="22"/>
      <c r="N124" s="17">
        <v>0</v>
      </c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183.53</v>
      </c>
      <c r="F125" s="17"/>
      <c r="G125" s="17">
        <v>50.33</v>
      </c>
      <c r="H125" s="16"/>
      <c r="I125" s="17">
        <v>183.53</v>
      </c>
      <c r="J125" s="17"/>
      <c r="K125" s="17">
        <v>50.33</v>
      </c>
      <c r="L125" s="17"/>
      <c r="M125" s="22">
        <v>113.75</v>
      </c>
      <c r="N125" s="17"/>
      <c r="O125" s="22">
        <v>50.33</v>
      </c>
      <c r="P125" s="19">
        <f t="shared" si="18"/>
        <v>69.78</v>
      </c>
    </row>
    <row r="126" ht="12" customHeight="1" spans="1:16">
      <c r="A126" s="14">
        <v>59</v>
      </c>
      <c r="B126" s="15" t="s">
        <v>74</v>
      </c>
      <c r="C126" s="18"/>
      <c r="D126" s="16">
        <v>14.68</v>
      </c>
      <c r="E126" s="17"/>
      <c r="F126" s="17">
        <v>4.03</v>
      </c>
      <c r="G126" s="17"/>
      <c r="H126" s="16">
        <v>14.68</v>
      </c>
      <c r="I126" s="17"/>
      <c r="J126" s="17">
        <v>4.03</v>
      </c>
      <c r="K126" s="17"/>
      <c r="L126" s="17">
        <v>9.1</v>
      </c>
      <c r="M126" s="22"/>
      <c r="N126" s="17">
        <v>4.03</v>
      </c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1172.15</v>
      </c>
      <c r="F127" s="17"/>
      <c r="G127" s="17">
        <v>164.78</v>
      </c>
      <c r="H127" s="16"/>
      <c r="I127" s="17">
        <v>1172.15</v>
      </c>
      <c r="J127" s="17"/>
      <c r="K127" s="17">
        <v>164.78</v>
      </c>
      <c r="L127" s="17"/>
      <c r="M127" s="22">
        <v>1021.88</v>
      </c>
      <c r="N127" s="17"/>
      <c r="O127" s="22">
        <v>164.78</v>
      </c>
      <c r="P127" s="19">
        <f t="shared" ref="P127:P131" si="19">I127+K127-M127-O127</f>
        <v>150.27</v>
      </c>
    </row>
    <row r="128" ht="12" customHeight="1" spans="1:16">
      <c r="A128" s="14">
        <v>60</v>
      </c>
      <c r="B128" s="15" t="s">
        <v>75</v>
      </c>
      <c r="C128" s="18"/>
      <c r="D128" s="16">
        <v>79.09</v>
      </c>
      <c r="E128" s="17"/>
      <c r="F128" s="17">
        <v>9.16</v>
      </c>
      <c r="G128" s="17"/>
      <c r="H128" s="16">
        <v>79.09</v>
      </c>
      <c r="I128" s="17"/>
      <c r="J128" s="17">
        <v>9.16</v>
      </c>
      <c r="K128" s="17"/>
      <c r="L128" s="17">
        <v>72.65</v>
      </c>
      <c r="M128" s="22"/>
      <c r="N128" s="17">
        <v>9.16</v>
      </c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2282.7</v>
      </c>
      <c r="F129" s="17"/>
      <c r="G129" s="17">
        <v>283.88</v>
      </c>
      <c r="H129" s="16"/>
      <c r="I129" s="17">
        <v>2282.7</v>
      </c>
      <c r="J129" s="17"/>
      <c r="K129" s="17">
        <v>283.88</v>
      </c>
      <c r="L129" s="17"/>
      <c r="M129" s="22">
        <v>2107</v>
      </c>
      <c r="N129" s="17"/>
      <c r="O129" s="22">
        <v>283.88</v>
      </c>
      <c r="P129" s="19">
        <f t="shared" si="19"/>
        <v>175.7</v>
      </c>
    </row>
    <row r="130" ht="12" customHeight="1" spans="1:16">
      <c r="A130" s="14">
        <v>61</v>
      </c>
      <c r="B130" s="15" t="s">
        <v>76</v>
      </c>
      <c r="C130" s="18"/>
      <c r="D130" s="16">
        <v>103.53</v>
      </c>
      <c r="E130" s="17"/>
      <c r="F130" s="17">
        <v>13.55</v>
      </c>
      <c r="G130" s="17"/>
      <c r="H130" s="16">
        <v>103.53</v>
      </c>
      <c r="I130" s="17"/>
      <c r="J130" s="17">
        <v>13.55</v>
      </c>
      <c r="K130" s="17"/>
      <c r="L130" s="17">
        <v>95.91</v>
      </c>
      <c r="M130" s="22"/>
      <c r="N130" s="17">
        <v>13.55</v>
      </c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3396.12</v>
      </c>
      <c r="F131" s="17"/>
      <c r="G131" s="17">
        <v>397.78</v>
      </c>
      <c r="H131" s="16"/>
      <c r="I131" s="17">
        <v>3396.12</v>
      </c>
      <c r="J131" s="17"/>
      <c r="K131" s="17">
        <v>397.78</v>
      </c>
      <c r="L131" s="17"/>
      <c r="M131" s="22">
        <v>3246.25</v>
      </c>
      <c r="N131" s="17"/>
      <c r="O131" s="22">
        <v>397.78</v>
      </c>
      <c r="P131" s="19">
        <f t="shared" si="19"/>
        <v>149.87</v>
      </c>
    </row>
    <row r="132" ht="12" customHeight="1" spans="1:16">
      <c r="A132" s="14">
        <v>62</v>
      </c>
      <c r="B132" s="15" t="s">
        <v>77</v>
      </c>
      <c r="C132" s="18"/>
      <c r="D132" s="16">
        <v>168.16</v>
      </c>
      <c r="E132" s="17"/>
      <c r="F132" s="17">
        <v>18.27</v>
      </c>
      <c r="G132" s="17"/>
      <c r="H132" s="16">
        <v>168.16</v>
      </c>
      <c r="I132" s="17"/>
      <c r="J132" s="17">
        <v>18.27</v>
      </c>
      <c r="K132" s="17"/>
      <c r="L132" s="17">
        <v>163.79</v>
      </c>
      <c r="M132" s="22"/>
      <c r="N132" s="17">
        <v>18.27</v>
      </c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5042.82</v>
      </c>
      <c r="F133" s="17"/>
      <c r="G133" s="17">
        <v>511.22</v>
      </c>
      <c r="H133" s="16"/>
      <c r="I133" s="17">
        <v>5042.82</v>
      </c>
      <c r="J133" s="17"/>
      <c r="K133" s="17">
        <v>511.22</v>
      </c>
      <c r="L133" s="17"/>
      <c r="M133" s="22">
        <v>4825.38</v>
      </c>
      <c r="N133" s="17"/>
      <c r="O133" s="22">
        <v>511.22</v>
      </c>
      <c r="P133" s="19">
        <f t="shared" ref="P133:P137" si="20">I133+K133-M133-O133</f>
        <v>217.44</v>
      </c>
    </row>
    <row r="134" ht="12" customHeight="1" spans="1:16">
      <c r="A134" s="14">
        <v>63</v>
      </c>
      <c r="B134" s="15" t="s">
        <v>78</v>
      </c>
      <c r="C134" s="18"/>
      <c r="D134" s="16">
        <v>235.26</v>
      </c>
      <c r="E134" s="17"/>
      <c r="F134" s="17">
        <v>22.63</v>
      </c>
      <c r="G134" s="17"/>
      <c r="H134" s="16">
        <v>235.26</v>
      </c>
      <c r="I134" s="17"/>
      <c r="J134" s="17">
        <v>22.63</v>
      </c>
      <c r="K134" s="17"/>
      <c r="L134" s="17">
        <v>222.24</v>
      </c>
      <c r="M134" s="22"/>
      <c r="N134" s="17">
        <v>22.63</v>
      </c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5357.81</v>
      </c>
      <c r="F135" s="17"/>
      <c r="G135" s="17">
        <v>548.11</v>
      </c>
      <c r="H135" s="16"/>
      <c r="I135" s="17">
        <v>5357.81</v>
      </c>
      <c r="J135" s="17"/>
      <c r="K135" s="17">
        <v>548.11</v>
      </c>
      <c r="L135" s="17"/>
      <c r="M135" s="22">
        <v>5148.38</v>
      </c>
      <c r="N135" s="17"/>
      <c r="O135" s="22">
        <v>548.11</v>
      </c>
      <c r="P135" s="19">
        <f t="shared" si="20"/>
        <v>209.43</v>
      </c>
    </row>
    <row r="136" ht="12" customHeight="1" spans="1:16">
      <c r="A136" s="14">
        <v>64</v>
      </c>
      <c r="B136" s="15" t="s">
        <v>79</v>
      </c>
      <c r="C136" s="18"/>
      <c r="D136" s="16">
        <v>193.36</v>
      </c>
      <c r="E136" s="17"/>
      <c r="F136" s="17">
        <v>21.22</v>
      </c>
      <c r="G136" s="17"/>
      <c r="H136" s="16">
        <v>193.36</v>
      </c>
      <c r="I136" s="17"/>
      <c r="J136" s="17">
        <v>21.22</v>
      </c>
      <c r="K136" s="17"/>
      <c r="L136" s="17">
        <v>189.63</v>
      </c>
      <c r="M136" s="22"/>
      <c r="N136" s="17">
        <v>21.22</v>
      </c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4425.51</v>
      </c>
      <c r="F137" s="17"/>
      <c r="G137" s="17">
        <v>509.79</v>
      </c>
      <c r="H137" s="16"/>
      <c r="I137" s="17">
        <v>4425.51</v>
      </c>
      <c r="J137" s="17"/>
      <c r="K137" s="17">
        <v>509.79</v>
      </c>
      <c r="L137" s="17"/>
      <c r="M137" s="22">
        <v>4324.75</v>
      </c>
      <c r="N137" s="17"/>
      <c r="O137" s="22">
        <v>509.79</v>
      </c>
      <c r="P137" s="19">
        <f t="shared" si="20"/>
        <v>100.76</v>
      </c>
    </row>
    <row r="138" ht="12" customHeight="1" spans="1:16">
      <c r="A138" s="14">
        <v>65</v>
      </c>
      <c r="B138" s="15" t="s">
        <v>80</v>
      </c>
      <c r="C138" s="18"/>
      <c r="D138" s="16">
        <v>160.68</v>
      </c>
      <c r="E138" s="17"/>
      <c r="F138" s="17">
        <v>19.56</v>
      </c>
      <c r="G138" s="17"/>
      <c r="H138" s="16">
        <v>160.68</v>
      </c>
      <c r="I138" s="17"/>
      <c r="J138" s="17">
        <v>19.56</v>
      </c>
      <c r="K138" s="17"/>
      <c r="L138" s="17">
        <v>156.35</v>
      </c>
      <c r="M138" s="22"/>
      <c r="N138" s="17">
        <v>19.56</v>
      </c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3631.1</v>
      </c>
      <c r="F139" s="17"/>
      <c r="G139" s="17">
        <v>466.12</v>
      </c>
      <c r="H139" s="16"/>
      <c r="I139" s="17">
        <v>3631.1</v>
      </c>
      <c r="J139" s="17"/>
      <c r="K139" s="17">
        <v>466.12</v>
      </c>
      <c r="L139" s="17"/>
      <c r="M139" s="22">
        <v>3522.5</v>
      </c>
      <c r="N139" s="17"/>
      <c r="O139" s="22">
        <v>466.12</v>
      </c>
      <c r="P139" s="19">
        <f t="shared" ref="P139:P143" si="21">I139+K139-M139-O139</f>
        <v>108.6</v>
      </c>
    </row>
    <row r="140" ht="12" customHeight="1" spans="1:16">
      <c r="A140" s="14">
        <v>66</v>
      </c>
      <c r="B140" s="15" t="s">
        <v>81</v>
      </c>
      <c r="C140" s="18"/>
      <c r="D140" s="16">
        <v>129.81</v>
      </c>
      <c r="E140" s="17"/>
      <c r="F140" s="17">
        <v>17.73</v>
      </c>
      <c r="G140" s="17"/>
      <c r="H140" s="16">
        <v>129.81</v>
      </c>
      <c r="I140" s="17"/>
      <c r="J140" s="17">
        <v>17.73</v>
      </c>
      <c r="K140" s="17"/>
      <c r="L140" s="17">
        <v>125.45</v>
      </c>
      <c r="M140" s="22"/>
      <c r="N140" s="17">
        <v>17.73</v>
      </c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3187.05</v>
      </c>
      <c r="F141" s="17"/>
      <c r="G141" s="17">
        <v>368.06</v>
      </c>
      <c r="H141" s="16"/>
      <c r="I141" s="17">
        <v>3187.05</v>
      </c>
      <c r="J141" s="17"/>
      <c r="K141" s="17">
        <v>368.06</v>
      </c>
      <c r="L141" s="17"/>
      <c r="M141" s="22">
        <v>3060.75</v>
      </c>
      <c r="N141" s="17"/>
      <c r="O141" s="22">
        <v>368.06</v>
      </c>
      <c r="P141" s="19">
        <f t="shared" si="21"/>
        <v>126.3</v>
      </c>
    </row>
    <row r="142" ht="12" customHeight="1" spans="1:16">
      <c r="A142" s="14">
        <v>67</v>
      </c>
      <c r="B142" s="15" t="s">
        <v>82</v>
      </c>
      <c r="C142" s="18"/>
      <c r="D142" s="16">
        <v>125.15</v>
      </c>
      <c r="E142" s="17"/>
      <c r="F142" s="17">
        <v>11.72</v>
      </c>
      <c r="G142" s="17"/>
      <c r="H142" s="16">
        <v>125.15</v>
      </c>
      <c r="I142" s="17"/>
      <c r="J142" s="17">
        <v>11.72</v>
      </c>
      <c r="K142" s="17"/>
      <c r="L142" s="17">
        <v>119.41</v>
      </c>
      <c r="M142" s="22"/>
      <c r="N142" s="17">
        <v>11.72</v>
      </c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3322.83</v>
      </c>
      <c r="F143" s="17"/>
      <c r="G143" s="17">
        <v>231.03</v>
      </c>
      <c r="H143" s="16"/>
      <c r="I143" s="17">
        <v>3322.83</v>
      </c>
      <c r="J143" s="17"/>
      <c r="K143" s="17">
        <v>231.03</v>
      </c>
      <c r="L143" s="17"/>
      <c r="M143" s="22">
        <v>3098.38</v>
      </c>
      <c r="N143" s="17"/>
      <c r="O143" s="22">
        <v>231.03</v>
      </c>
      <c r="P143" s="19">
        <f t="shared" si="21"/>
        <v>224.45</v>
      </c>
    </row>
    <row r="144" ht="12" customHeight="1" spans="1:16">
      <c r="A144" s="14">
        <v>68</v>
      </c>
      <c r="B144" s="15" t="s">
        <v>83</v>
      </c>
      <c r="C144" s="18"/>
      <c r="D144" s="16">
        <v>140.67</v>
      </c>
      <c r="E144" s="17"/>
      <c r="F144" s="17">
        <v>6.76</v>
      </c>
      <c r="G144" s="17"/>
      <c r="H144" s="16">
        <v>140.67</v>
      </c>
      <c r="I144" s="17"/>
      <c r="J144" s="17">
        <v>6.76</v>
      </c>
      <c r="K144" s="17"/>
      <c r="L144" s="17">
        <v>128.46</v>
      </c>
      <c r="M144" s="22"/>
      <c r="N144" s="17">
        <v>6.76</v>
      </c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1758.39</v>
      </c>
      <c r="F145" s="17"/>
      <c r="G145" s="17">
        <v>84.55</v>
      </c>
      <c r="H145" s="16"/>
      <c r="I145" s="17">
        <v>1758.39</v>
      </c>
      <c r="J145" s="17"/>
      <c r="K145" s="17">
        <v>84.55</v>
      </c>
      <c r="L145" s="17"/>
      <c r="M145" s="22">
        <v>1605.75</v>
      </c>
      <c r="N145" s="17"/>
      <c r="O145" s="22">
        <v>84.55</v>
      </c>
      <c r="P145" s="19">
        <f t="shared" ref="P145:P149" si="22">I145+K145-M145-O145</f>
        <v>152.64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>
        <v>0</v>
      </c>
      <c r="I146" s="17"/>
      <c r="J146" s="17">
        <v>0</v>
      </c>
      <c r="K146" s="17"/>
      <c r="L146" s="17">
        <v>0</v>
      </c>
      <c r="M146" s="22"/>
      <c r="N146" s="17">
        <v>0</v>
      </c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0</v>
      </c>
      <c r="F147" s="17"/>
      <c r="G147" s="17">
        <v>0</v>
      </c>
      <c r="H147" s="16"/>
      <c r="I147" s="17">
        <v>0</v>
      </c>
      <c r="J147" s="17"/>
      <c r="K147" s="17">
        <v>0</v>
      </c>
      <c r="L147" s="17"/>
      <c r="M147" s="22">
        <v>0</v>
      </c>
      <c r="N147" s="17"/>
      <c r="O147" s="22">
        <v>0</v>
      </c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0</v>
      </c>
      <c r="E148" s="17"/>
      <c r="F148" s="17">
        <v>0</v>
      </c>
      <c r="G148" s="17"/>
      <c r="H148" s="16">
        <v>0</v>
      </c>
      <c r="I148" s="17"/>
      <c r="J148" s="17">
        <v>0</v>
      </c>
      <c r="K148" s="17"/>
      <c r="L148" s="17">
        <v>0</v>
      </c>
      <c r="M148" s="22"/>
      <c r="N148" s="17">
        <v>0</v>
      </c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0</v>
      </c>
      <c r="F149" s="17"/>
      <c r="G149" s="17">
        <v>0</v>
      </c>
      <c r="H149" s="16"/>
      <c r="I149" s="17">
        <v>0</v>
      </c>
      <c r="J149" s="17"/>
      <c r="K149" s="17">
        <v>0</v>
      </c>
      <c r="L149" s="17"/>
      <c r="M149" s="22">
        <v>0</v>
      </c>
      <c r="N149" s="17"/>
      <c r="O149" s="22">
        <v>0</v>
      </c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0</v>
      </c>
      <c r="E150" s="17"/>
      <c r="F150" s="17">
        <v>0</v>
      </c>
      <c r="G150" s="17"/>
      <c r="H150" s="16">
        <v>0</v>
      </c>
      <c r="I150" s="17"/>
      <c r="J150" s="17">
        <v>0</v>
      </c>
      <c r="K150" s="17"/>
      <c r="L150" s="17">
        <v>0</v>
      </c>
      <c r="M150" s="22"/>
      <c r="N150" s="17">
        <v>0</v>
      </c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0</v>
      </c>
      <c r="F151" s="17"/>
      <c r="G151" s="17">
        <v>0</v>
      </c>
      <c r="H151" s="16"/>
      <c r="I151" s="17">
        <v>0</v>
      </c>
      <c r="J151" s="17"/>
      <c r="K151" s="17">
        <v>0</v>
      </c>
      <c r="L151" s="17"/>
      <c r="M151" s="22">
        <v>0</v>
      </c>
      <c r="N151" s="17"/>
      <c r="O151" s="22">
        <v>0</v>
      </c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0</v>
      </c>
      <c r="E152" s="17"/>
      <c r="F152" s="17">
        <v>0</v>
      </c>
      <c r="G152" s="17"/>
      <c r="H152" s="16">
        <v>0</v>
      </c>
      <c r="I152" s="17"/>
      <c r="J152" s="17">
        <v>0</v>
      </c>
      <c r="K152" s="17"/>
      <c r="L152" s="17">
        <v>0</v>
      </c>
      <c r="M152" s="22"/>
      <c r="N152" s="17">
        <v>0</v>
      </c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0</v>
      </c>
      <c r="F153" s="17"/>
      <c r="G153" s="17">
        <v>0</v>
      </c>
      <c r="H153" s="16"/>
      <c r="I153" s="17">
        <v>0</v>
      </c>
      <c r="J153" s="17"/>
      <c r="K153" s="17">
        <v>0</v>
      </c>
      <c r="L153" s="17"/>
      <c r="M153" s="22">
        <v>0</v>
      </c>
      <c r="N153" s="17"/>
      <c r="O153" s="22">
        <v>0</v>
      </c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0</v>
      </c>
      <c r="E154" s="17"/>
      <c r="F154" s="17">
        <v>0</v>
      </c>
      <c r="G154" s="17"/>
      <c r="H154" s="16">
        <v>0</v>
      </c>
      <c r="I154" s="17"/>
      <c r="J154" s="17">
        <v>0</v>
      </c>
      <c r="K154" s="17"/>
      <c r="L154" s="17">
        <v>0</v>
      </c>
      <c r="M154" s="22"/>
      <c r="N154" s="17">
        <v>0</v>
      </c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0</v>
      </c>
      <c r="F155" s="17"/>
      <c r="G155" s="17">
        <v>0</v>
      </c>
      <c r="H155" s="16"/>
      <c r="I155" s="17">
        <v>0</v>
      </c>
      <c r="J155" s="17"/>
      <c r="K155" s="17">
        <v>0</v>
      </c>
      <c r="L155" s="17"/>
      <c r="M155" s="22">
        <v>0</v>
      </c>
      <c r="N155" s="17"/>
      <c r="O155" s="22">
        <v>0</v>
      </c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0</v>
      </c>
      <c r="E156" s="17"/>
      <c r="F156" s="17">
        <v>0</v>
      </c>
      <c r="G156" s="17"/>
      <c r="H156" s="16">
        <v>0</v>
      </c>
      <c r="I156" s="17"/>
      <c r="J156" s="17">
        <v>0</v>
      </c>
      <c r="K156" s="17"/>
      <c r="L156" s="17">
        <v>0</v>
      </c>
      <c r="M156" s="22"/>
      <c r="N156" s="17">
        <v>0</v>
      </c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0</v>
      </c>
      <c r="F157" s="17"/>
      <c r="G157" s="17">
        <v>0</v>
      </c>
      <c r="H157" s="16"/>
      <c r="I157" s="17">
        <v>0</v>
      </c>
      <c r="J157" s="17"/>
      <c r="K157" s="17">
        <v>0</v>
      </c>
      <c r="L157" s="17"/>
      <c r="M157" s="22">
        <v>0</v>
      </c>
      <c r="N157" s="17"/>
      <c r="O157" s="22">
        <v>0</v>
      </c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0</v>
      </c>
      <c r="E158" s="17"/>
      <c r="F158" s="17">
        <v>0</v>
      </c>
      <c r="G158" s="17"/>
      <c r="H158" s="16">
        <v>0</v>
      </c>
      <c r="I158" s="17"/>
      <c r="J158" s="17">
        <v>0</v>
      </c>
      <c r="K158" s="17"/>
      <c r="L158" s="17">
        <v>0</v>
      </c>
      <c r="M158" s="22"/>
      <c r="N158" s="17">
        <v>0</v>
      </c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0</v>
      </c>
      <c r="F159" s="17"/>
      <c r="G159" s="17">
        <v>0</v>
      </c>
      <c r="H159" s="16"/>
      <c r="I159" s="17">
        <v>0</v>
      </c>
      <c r="J159" s="17"/>
      <c r="K159" s="17">
        <v>0</v>
      </c>
      <c r="L159" s="17"/>
      <c r="M159" s="22">
        <v>0</v>
      </c>
      <c r="N159" s="17"/>
      <c r="O159" s="22">
        <v>0</v>
      </c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0</v>
      </c>
      <c r="E160" s="17"/>
      <c r="F160" s="17">
        <v>0</v>
      </c>
      <c r="G160" s="17"/>
      <c r="H160" s="16">
        <v>0</v>
      </c>
      <c r="I160" s="17"/>
      <c r="J160" s="17">
        <v>0</v>
      </c>
      <c r="K160" s="17"/>
      <c r="L160" s="17">
        <v>0</v>
      </c>
      <c r="M160" s="22"/>
      <c r="N160" s="17">
        <v>0</v>
      </c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0</v>
      </c>
      <c r="F161" s="17"/>
      <c r="G161" s="17">
        <v>0</v>
      </c>
      <c r="H161" s="16"/>
      <c r="I161" s="17">
        <v>0</v>
      </c>
      <c r="J161" s="17"/>
      <c r="K161" s="17">
        <v>0</v>
      </c>
      <c r="L161" s="17"/>
      <c r="M161" s="22">
        <v>0</v>
      </c>
      <c r="N161" s="17"/>
      <c r="O161" s="22">
        <v>0</v>
      </c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>
        <v>0</v>
      </c>
      <c r="I162" s="17"/>
      <c r="J162" s="17">
        <v>0</v>
      </c>
      <c r="K162" s="17"/>
      <c r="L162" s="17">
        <v>0</v>
      </c>
      <c r="M162" s="22"/>
      <c r="N162" s="17">
        <v>0</v>
      </c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>
        <v>0</v>
      </c>
      <c r="J163" s="17"/>
      <c r="K163" s="17">
        <v>0</v>
      </c>
      <c r="L163" s="17"/>
      <c r="M163" s="22">
        <v>0</v>
      </c>
      <c r="N163" s="17"/>
      <c r="O163" s="22">
        <v>0</v>
      </c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>
        <v>0</v>
      </c>
      <c r="I164" s="17"/>
      <c r="J164" s="17">
        <v>0</v>
      </c>
      <c r="K164" s="17"/>
      <c r="L164" s="17">
        <v>0</v>
      </c>
      <c r="M164" s="22"/>
      <c r="N164" s="17">
        <v>0</v>
      </c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>
        <v>0</v>
      </c>
      <c r="J165" s="17"/>
      <c r="K165" s="17">
        <v>0</v>
      </c>
      <c r="L165" s="17"/>
      <c r="M165" s="22">
        <v>0</v>
      </c>
      <c r="N165" s="17"/>
      <c r="O165" s="22">
        <v>0</v>
      </c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>
        <v>0</v>
      </c>
      <c r="I166" s="17"/>
      <c r="J166" s="17">
        <v>0</v>
      </c>
      <c r="K166" s="17"/>
      <c r="L166" s="17">
        <v>0</v>
      </c>
      <c r="M166" s="22"/>
      <c r="N166" s="17">
        <v>0</v>
      </c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>
        <v>0</v>
      </c>
      <c r="J167" s="17"/>
      <c r="K167" s="17">
        <v>0</v>
      </c>
      <c r="L167" s="17"/>
      <c r="M167" s="22">
        <v>0</v>
      </c>
      <c r="N167" s="17"/>
      <c r="O167" s="22">
        <v>0</v>
      </c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>
        <v>0</v>
      </c>
      <c r="I168" s="17"/>
      <c r="J168" s="17">
        <v>0</v>
      </c>
      <c r="K168" s="17"/>
      <c r="L168" s="17">
        <v>0</v>
      </c>
      <c r="M168" s="22"/>
      <c r="N168" s="17">
        <v>0</v>
      </c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>
        <v>0</v>
      </c>
      <c r="J169" s="17"/>
      <c r="K169" s="17">
        <v>0</v>
      </c>
      <c r="L169" s="17"/>
      <c r="M169" s="22">
        <v>0</v>
      </c>
      <c r="N169" s="17"/>
      <c r="O169" s="22">
        <v>0</v>
      </c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>
        <v>0</v>
      </c>
      <c r="I170" s="17"/>
      <c r="J170" s="17">
        <v>0</v>
      </c>
      <c r="K170" s="17"/>
      <c r="L170" s="17">
        <v>0</v>
      </c>
      <c r="M170" s="22"/>
      <c r="N170" s="17">
        <v>0</v>
      </c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>
        <v>0</v>
      </c>
      <c r="J171" s="17"/>
      <c r="K171" s="17">
        <v>0</v>
      </c>
      <c r="L171" s="17"/>
      <c r="M171" s="22">
        <v>0</v>
      </c>
      <c r="N171" s="17"/>
      <c r="O171" s="22">
        <v>0</v>
      </c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>
        <v>0</v>
      </c>
      <c r="I172" s="17"/>
      <c r="J172" s="17">
        <v>0</v>
      </c>
      <c r="K172" s="17"/>
      <c r="L172" s="17">
        <v>0</v>
      </c>
      <c r="M172" s="22"/>
      <c r="N172" s="17">
        <v>0</v>
      </c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>
        <v>0</v>
      </c>
      <c r="J173" s="17"/>
      <c r="K173" s="17">
        <v>0</v>
      </c>
      <c r="L173" s="17"/>
      <c r="M173" s="22">
        <v>0</v>
      </c>
      <c r="N173" s="17"/>
      <c r="O173" s="22">
        <v>0</v>
      </c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>
        <v>0</v>
      </c>
      <c r="I174" s="17"/>
      <c r="J174" s="17">
        <v>0</v>
      </c>
      <c r="K174" s="17"/>
      <c r="L174" s="17">
        <v>0</v>
      </c>
      <c r="M174" s="22"/>
      <c r="N174" s="17">
        <v>0</v>
      </c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>
        <v>0</v>
      </c>
      <c r="J175" s="17"/>
      <c r="K175" s="17">
        <v>0</v>
      </c>
      <c r="L175" s="17"/>
      <c r="M175" s="22">
        <v>0</v>
      </c>
      <c r="N175" s="17"/>
      <c r="O175" s="22">
        <v>0</v>
      </c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>
        <v>0</v>
      </c>
      <c r="I176" s="17"/>
      <c r="J176" s="17">
        <v>0</v>
      </c>
      <c r="K176" s="17"/>
      <c r="L176" s="17">
        <v>0</v>
      </c>
      <c r="M176" s="22"/>
      <c r="N176" s="17">
        <v>0</v>
      </c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>
        <v>0</v>
      </c>
      <c r="J177" s="17"/>
      <c r="K177" s="17">
        <v>0</v>
      </c>
      <c r="L177" s="17"/>
      <c r="M177" s="22">
        <v>0</v>
      </c>
      <c r="N177" s="17"/>
      <c r="O177" s="22">
        <v>0</v>
      </c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>
        <v>0</v>
      </c>
      <c r="I178" s="17"/>
      <c r="J178" s="17">
        <v>0</v>
      </c>
      <c r="K178" s="17"/>
      <c r="L178" s="17">
        <v>0</v>
      </c>
      <c r="M178" s="22"/>
      <c r="N178" s="17">
        <v>0</v>
      </c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>
        <v>0</v>
      </c>
      <c r="J179" s="17"/>
      <c r="K179" s="17">
        <v>0</v>
      </c>
      <c r="L179" s="17"/>
      <c r="M179" s="22">
        <v>0</v>
      </c>
      <c r="N179" s="17"/>
      <c r="O179" s="22">
        <v>0</v>
      </c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>
        <v>0</v>
      </c>
      <c r="I180" s="17"/>
      <c r="J180" s="17">
        <v>0</v>
      </c>
      <c r="K180" s="17"/>
      <c r="L180" s="17">
        <v>0</v>
      </c>
      <c r="M180" s="22"/>
      <c r="N180" s="17">
        <v>0</v>
      </c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>
        <v>0</v>
      </c>
      <c r="J181" s="17"/>
      <c r="K181" s="17">
        <v>0</v>
      </c>
      <c r="L181" s="17"/>
      <c r="M181" s="22">
        <v>0</v>
      </c>
      <c r="N181" s="17"/>
      <c r="O181" s="22">
        <v>0</v>
      </c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>
        <v>0</v>
      </c>
      <c r="I182" s="17"/>
      <c r="J182" s="17">
        <v>0</v>
      </c>
      <c r="K182" s="17"/>
      <c r="L182" s="17">
        <v>0</v>
      </c>
      <c r="M182" s="22"/>
      <c r="N182" s="17">
        <v>0</v>
      </c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>
        <v>0</v>
      </c>
      <c r="J183" s="17"/>
      <c r="K183" s="17">
        <v>0</v>
      </c>
      <c r="L183" s="17"/>
      <c r="M183" s="22">
        <v>0</v>
      </c>
      <c r="N183" s="17"/>
      <c r="O183" s="22">
        <v>0</v>
      </c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>
        <v>0</v>
      </c>
      <c r="I184" s="17"/>
      <c r="J184" s="17">
        <v>0</v>
      </c>
      <c r="K184" s="17"/>
      <c r="L184" s="17">
        <v>0</v>
      </c>
      <c r="M184" s="22"/>
      <c r="N184" s="17">
        <v>0</v>
      </c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>
        <v>0</v>
      </c>
      <c r="J185" s="17"/>
      <c r="K185" s="17">
        <v>0</v>
      </c>
      <c r="L185" s="17"/>
      <c r="M185" s="22">
        <v>0</v>
      </c>
      <c r="N185" s="17"/>
      <c r="O185" s="22">
        <v>0</v>
      </c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>
        <v>0</v>
      </c>
      <c r="I186" s="17"/>
      <c r="J186" s="17">
        <v>0</v>
      </c>
      <c r="K186" s="17"/>
      <c r="L186" s="17">
        <v>0</v>
      </c>
      <c r="M186" s="22"/>
      <c r="N186" s="17">
        <v>0</v>
      </c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>
        <v>0</v>
      </c>
      <c r="J187" s="17"/>
      <c r="K187" s="17">
        <v>0</v>
      </c>
      <c r="L187" s="17"/>
      <c r="M187" s="22">
        <v>0</v>
      </c>
      <c r="N187" s="17"/>
      <c r="O187" s="22">
        <v>0</v>
      </c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>
        <v>0</v>
      </c>
      <c r="I188" s="17"/>
      <c r="J188" s="17">
        <v>0</v>
      </c>
      <c r="K188" s="17"/>
      <c r="L188" s="17">
        <v>0</v>
      </c>
      <c r="M188" s="22"/>
      <c r="N188" s="17">
        <v>0</v>
      </c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>
        <v>0</v>
      </c>
      <c r="J189" s="17"/>
      <c r="K189" s="17">
        <v>0</v>
      </c>
      <c r="L189" s="17"/>
      <c r="M189" s="22">
        <v>0</v>
      </c>
      <c r="N189" s="17"/>
      <c r="O189" s="22">
        <v>0</v>
      </c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>
        <v>0</v>
      </c>
      <c r="I190" s="17"/>
      <c r="J190" s="17">
        <v>0</v>
      </c>
      <c r="K190" s="17"/>
      <c r="L190" s="17">
        <v>0</v>
      </c>
      <c r="M190" s="22"/>
      <c r="N190" s="17">
        <v>0</v>
      </c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>
        <v>0</v>
      </c>
      <c r="J191" s="17"/>
      <c r="K191" s="17">
        <v>0</v>
      </c>
      <c r="L191" s="17"/>
      <c r="M191" s="22">
        <v>0</v>
      </c>
      <c r="N191" s="17"/>
      <c r="O191" s="22">
        <v>0</v>
      </c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>
        <v>0</v>
      </c>
      <c r="I192" s="17"/>
      <c r="J192" s="17">
        <v>0</v>
      </c>
      <c r="K192" s="17"/>
      <c r="L192" s="17">
        <v>0</v>
      </c>
      <c r="M192" s="22"/>
      <c r="N192" s="17">
        <v>0</v>
      </c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>
        <v>0</v>
      </c>
      <c r="J193" s="17"/>
      <c r="K193" s="17">
        <v>0</v>
      </c>
      <c r="L193" s="17"/>
      <c r="M193" s="22">
        <v>0</v>
      </c>
      <c r="N193" s="17"/>
      <c r="O193" s="22">
        <v>0</v>
      </c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>
        <v>0</v>
      </c>
      <c r="I194" s="17"/>
      <c r="J194" s="17">
        <v>0</v>
      </c>
      <c r="K194" s="17"/>
      <c r="L194" s="17">
        <v>0</v>
      </c>
      <c r="M194" s="22"/>
      <c r="N194" s="17">
        <v>0</v>
      </c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>
        <v>0</v>
      </c>
      <c r="J195" s="17"/>
      <c r="K195" s="17">
        <v>0</v>
      </c>
      <c r="L195" s="17"/>
      <c r="M195" s="22">
        <v>0</v>
      </c>
      <c r="N195" s="17"/>
      <c r="O195" s="22">
        <v>0</v>
      </c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>
        <v>0</v>
      </c>
      <c r="I196" s="17"/>
      <c r="J196" s="17">
        <v>0</v>
      </c>
      <c r="K196" s="17"/>
      <c r="L196" s="17">
        <v>0</v>
      </c>
      <c r="M196" s="22"/>
      <c r="N196" s="17">
        <v>0</v>
      </c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1303.7</v>
      </c>
      <c r="F197" s="17"/>
      <c r="G197" s="17">
        <v>187.03</v>
      </c>
      <c r="H197" s="16"/>
      <c r="I197" s="17">
        <v>1303.7</v>
      </c>
      <c r="J197" s="17"/>
      <c r="K197" s="17">
        <v>187.03</v>
      </c>
      <c r="L197" s="17"/>
      <c r="M197" s="22">
        <v>1303.63</v>
      </c>
      <c r="N197" s="17"/>
      <c r="O197" s="22">
        <v>187.03</v>
      </c>
      <c r="P197" s="19">
        <f t="shared" si="30"/>
        <v>0.0699999999999079</v>
      </c>
    </row>
    <row r="198" ht="12" customHeight="1" spans="1:16">
      <c r="A198" s="14">
        <v>95</v>
      </c>
      <c r="B198" s="15" t="s">
        <v>110</v>
      </c>
      <c r="C198" s="18"/>
      <c r="D198" s="16">
        <v>104.3</v>
      </c>
      <c r="E198" s="17"/>
      <c r="F198" s="17">
        <v>14.96</v>
      </c>
      <c r="G198" s="17"/>
      <c r="H198" s="16">
        <v>104.3</v>
      </c>
      <c r="I198" s="17"/>
      <c r="J198" s="17">
        <v>14.96</v>
      </c>
      <c r="K198" s="17"/>
      <c r="L198" s="52">
        <v>104.3</v>
      </c>
      <c r="M198" s="22"/>
      <c r="N198" s="17">
        <v>14.96</v>
      </c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4847.48</v>
      </c>
      <c r="F199" s="17"/>
      <c r="G199" s="17">
        <v>725.83</v>
      </c>
      <c r="H199" s="16"/>
      <c r="I199" s="17">
        <v>4847.48</v>
      </c>
      <c r="J199" s="17"/>
      <c r="K199" s="17">
        <v>725.83</v>
      </c>
      <c r="L199" s="52"/>
      <c r="M199" s="22">
        <v>4614</v>
      </c>
      <c r="N199" s="17"/>
      <c r="O199" s="22">
        <v>725.83</v>
      </c>
      <c r="P199" s="19">
        <f t="shared" ref="P199:P203" si="31">I199+K199-M199-O199</f>
        <v>233.479999999999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283.5</v>
      </c>
      <c r="E200" s="17"/>
      <c r="F200" s="17">
        <v>43.1</v>
      </c>
      <c r="G200" s="17"/>
      <c r="H200" s="16">
        <v>283.5</v>
      </c>
      <c r="I200" s="17"/>
      <c r="J200" s="17">
        <v>43.1</v>
      </c>
      <c r="K200" s="17"/>
      <c r="L200" s="17">
        <v>264.83</v>
      </c>
      <c r="M200" s="22"/>
      <c r="N200" s="17">
        <v>43.1</v>
      </c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7094.74</v>
      </c>
      <c r="F201" s="17"/>
      <c r="G201" s="17">
        <v>1034.48</v>
      </c>
      <c r="H201" s="16"/>
      <c r="I201" s="17">
        <v>7039</v>
      </c>
      <c r="J201" s="17"/>
      <c r="K201" s="17">
        <v>1034.38</v>
      </c>
      <c r="L201" s="17"/>
      <c r="M201" s="22">
        <v>5135.25</v>
      </c>
      <c r="N201" s="17"/>
      <c r="O201" s="22">
        <v>1034.38</v>
      </c>
      <c r="P201" s="19">
        <f t="shared" si="31"/>
        <v>1903.75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284.08</v>
      </c>
      <c r="E202" s="17"/>
      <c r="F202" s="17">
        <v>39.65</v>
      </c>
      <c r="G202" s="17"/>
      <c r="H202" s="16">
        <v>279.62</v>
      </c>
      <c r="I202" s="17"/>
      <c r="J202" s="17">
        <v>39.65</v>
      </c>
      <c r="K202" s="17"/>
      <c r="L202" s="17">
        <v>145.99</v>
      </c>
      <c r="M202" s="22"/>
      <c r="N202" s="17">
        <v>39.65</v>
      </c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7026.63</v>
      </c>
      <c r="F203" s="17"/>
      <c r="G203" s="17">
        <v>962.66</v>
      </c>
      <c r="H203" s="16"/>
      <c r="I203" s="17">
        <v>6873.75</v>
      </c>
      <c r="J203" s="17"/>
      <c r="K203" s="17">
        <v>962.63</v>
      </c>
      <c r="L203" s="17"/>
      <c r="M203" s="22">
        <v>4970.7</v>
      </c>
      <c r="N203" s="17"/>
      <c r="O203" s="22">
        <v>962.63</v>
      </c>
      <c r="P203" s="19">
        <f t="shared" si="31"/>
        <v>1903.05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278.05</v>
      </c>
      <c r="E204" s="17"/>
      <c r="F204" s="17">
        <v>37.36</v>
      </c>
      <c r="G204" s="17"/>
      <c r="H204" s="16">
        <v>270.28</v>
      </c>
      <c r="I204" s="17"/>
      <c r="J204" s="17">
        <v>37.36</v>
      </c>
      <c r="K204" s="17"/>
      <c r="L204" s="17">
        <v>257.07</v>
      </c>
      <c r="M204" s="22"/>
      <c r="N204" s="17">
        <v>37.36</v>
      </c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6188.11</v>
      </c>
      <c r="F205" s="17"/>
      <c r="G205" s="17">
        <v>943.31</v>
      </c>
      <c r="H205" s="16"/>
      <c r="I205" s="17">
        <v>6046.5</v>
      </c>
      <c r="J205" s="17"/>
      <c r="K205" s="17">
        <v>943.38</v>
      </c>
      <c r="L205" s="17"/>
      <c r="M205" s="22">
        <v>5187.53</v>
      </c>
      <c r="N205" s="17"/>
      <c r="O205" s="22">
        <v>943.38</v>
      </c>
      <c r="P205" s="19">
        <f t="shared" ref="P205:P209" si="32">I205+K205-M205-O205</f>
        <v>858.97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216.99</v>
      </c>
      <c r="E206" s="17"/>
      <c r="F206" s="17">
        <v>38.11</v>
      </c>
      <c r="G206" s="17"/>
      <c r="H206" s="16">
        <v>213.44</v>
      </c>
      <c r="I206" s="17"/>
      <c r="J206" s="17">
        <v>38.11</v>
      </c>
      <c r="K206" s="17"/>
      <c r="L206" s="17">
        <v>209.59</v>
      </c>
      <c r="M206" s="22"/>
      <c r="N206" s="17">
        <v>38.11</v>
      </c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5919.17</v>
      </c>
      <c r="F207" s="17"/>
      <c r="G207" s="17">
        <v>1036.12</v>
      </c>
      <c r="H207" s="16"/>
      <c r="I207" s="17">
        <v>5827.63</v>
      </c>
      <c r="J207" s="17"/>
      <c r="K207" s="17">
        <v>1036.13</v>
      </c>
      <c r="L207" s="17"/>
      <c r="M207" s="22">
        <v>5630.85</v>
      </c>
      <c r="N207" s="17"/>
      <c r="O207" s="22">
        <v>1036.13</v>
      </c>
      <c r="P207" s="19">
        <f t="shared" si="32"/>
        <v>196.78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256.54</v>
      </c>
      <c r="E208" s="17"/>
      <c r="F208" s="17">
        <v>44.78</v>
      </c>
      <c r="G208" s="17"/>
      <c r="H208" s="16">
        <v>252.77</v>
      </c>
      <c r="I208" s="17"/>
      <c r="J208" s="17">
        <v>44.78</v>
      </c>
      <c r="K208" s="17"/>
      <c r="L208" s="17">
        <v>240.88</v>
      </c>
      <c r="M208" s="22"/>
      <c r="N208" s="17">
        <v>44.78</v>
      </c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7102.02</v>
      </c>
      <c r="F209" s="17"/>
      <c r="G209" s="17">
        <v>1170.74</v>
      </c>
      <c r="H209" s="16"/>
      <c r="I209" s="17">
        <v>6977.17</v>
      </c>
      <c r="J209" s="17"/>
      <c r="K209" s="17">
        <v>1170.75</v>
      </c>
      <c r="L209" s="17"/>
      <c r="M209" s="22">
        <v>6624.98</v>
      </c>
      <c r="N209" s="17"/>
      <c r="O209" s="22">
        <v>1170.75</v>
      </c>
      <c r="P209" s="19">
        <f t="shared" si="32"/>
        <v>352.190000000001</v>
      </c>
    </row>
    <row r="210" ht="12" customHeight="1" spans="1:16">
      <c r="A210" s="14">
        <v>101</v>
      </c>
      <c r="B210" s="15" t="s">
        <v>116</v>
      </c>
      <c r="C210" s="18"/>
      <c r="D210" s="16">
        <v>311.62</v>
      </c>
      <c r="E210" s="17"/>
      <c r="F210" s="17">
        <v>48.88</v>
      </c>
      <c r="G210" s="17"/>
      <c r="H210" s="16">
        <v>305.4</v>
      </c>
      <c r="I210" s="17"/>
      <c r="J210" s="17">
        <v>48.88</v>
      </c>
      <c r="K210" s="17"/>
      <c r="L210" s="17">
        <v>289.12</v>
      </c>
      <c r="M210" s="22"/>
      <c r="N210" s="17">
        <v>48.88</v>
      </c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8195.95</v>
      </c>
      <c r="F211" s="17"/>
      <c r="G211" s="17">
        <v>1206.2</v>
      </c>
      <c r="H211" s="16"/>
      <c r="I211" s="17">
        <v>8038.65</v>
      </c>
      <c r="J211" s="17"/>
      <c r="K211" s="17">
        <v>1206.25</v>
      </c>
      <c r="L211" s="17"/>
      <c r="M211" s="22">
        <v>7682.55</v>
      </c>
      <c r="N211" s="17"/>
      <c r="O211" s="22">
        <v>1206.25</v>
      </c>
      <c r="P211" s="19">
        <f t="shared" ref="P211:P215" si="33">I211+K211-M211-O211</f>
        <v>356.099999999999</v>
      </c>
    </row>
    <row r="212" ht="12" customHeight="1" spans="1:16">
      <c r="A212" s="14">
        <v>102</v>
      </c>
      <c r="B212" s="15" t="s">
        <v>117</v>
      </c>
      <c r="C212" s="18"/>
      <c r="D212" s="16">
        <v>344.05</v>
      </c>
      <c r="E212" s="17"/>
      <c r="F212" s="17">
        <v>47.62</v>
      </c>
      <c r="G212" s="17"/>
      <c r="H212" s="16">
        <v>337.69</v>
      </c>
      <c r="I212" s="17"/>
      <c r="J212" s="17">
        <v>47.62</v>
      </c>
      <c r="K212" s="17"/>
      <c r="L212" s="17">
        <v>325.48</v>
      </c>
      <c r="M212" s="22"/>
      <c r="N212" s="17">
        <v>47.62</v>
      </c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5773.16</v>
      </c>
      <c r="F213" s="17"/>
      <c r="G213" s="17">
        <v>829.15</v>
      </c>
      <c r="H213" s="16"/>
      <c r="I213" s="17">
        <v>5693.6</v>
      </c>
      <c r="J213" s="17"/>
      <c r="K213" s="17">
        <v>829.13</v>
      </c>
      <c r="L213" s="17"/>
      <c r="M213" s="22">
        <v>5541</v>
      </c>
      <c r="N213" s="17"/>
      <c r="O213" s="22">
        <v>829.13</v>
      </c>
      <c r="P213" s="19">
        <f t="shared" si="33"/>
        <v>152.6</v>
      </c>
    </row>
    <row r="214" ht="12" customHeight="1" spans="1:16">
      <c r="A214" s="14">
        <v>103</v>
      </c>
      <c r="B214" s="15" t="s">
        <v>118</v>
      </c>
      <c r="C214" s="18"/>
      <c r="D214" s="16">
        <v>117.8</v>
      </c>
      <c r="E214" s="17"/>
      <c r="F214" s="17">
        <v>18.71</v>
      </c>
      <c r="G214" s="17"/>
      <c r="H214" s="16">
        <v>117.8</v>
      </c>
      <c r="I214" s="17"/>
      <c r="J214" s="17">
        <v>18.71</v>
      </c>
      <c r="K214" s="17"/>
      <c r="L214" s="17">
        <v>117.8</v>
      </c>
      <c r="M214" s="22"/>
      <c r="N214" s="17">
        <v>18.71</v>
      </c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2055.43</v>
      </c>
      <c r="F215" s="17"/>
      <c r="G215" s="17">
        <v>353.74</v>
      </c>
      <c r="H215" s="16"/>
      <c r="I215" s="17">
        <v>2055.43</v>
      </c>
      <c r="J215" s="17"/>
      <c r="K215" s="17">
        <v>353.74</v>
      </c>
      <c r="L215" s="17"/>
      <c r="M215" s="22">
        <v>2055.43</v>
      </c>
      <c r="N215" s="17"/>
      <c r="O215" s="22">
        <v>353.74</v>
      </c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46.64</v>
      </c>
      <c r="E216" s="17"/>
      <c r="F216" s="17">
        <v>9.59</v>
      </c>
      <c r="G216" s="17"/>
      <c r="H216" s="16">
        <v>46.64</v>
      </c>
      <c r="I216" s="17"/>
      <c r="J216" s="17">
        <v>9.59</v>
      </c>
      <c r="K216" s="17"/>
      <c r="L216" s="17">
        <v>46.64</v>
      </c>
      <c r="M216" s="22"/>
      <c r="N216" s="17">
        <v>9.59</v>
      </c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582.94</v>
      </c>
      <c r="F217" s="17"/>
      <c r="G217" s="17">
        <v>119.84</v>
      </c>
      <c r="H217" s="16"/>
      <c r="I217" s="17">
        <v>582.94</v>
      </c>
      <c r="J217" s="17"/>
      <c r="K217" s="17">
        <v>119.84</v>
      </c>
      <c r="L217" s="17"/>
      <c r="M217" s="22">
        <v>582.94</v>
      </c>
      <c r="N217" s="17"/>
      <c r="O217" s="22">
        <v>119.84</v>
      </c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>
        <v>0</v>
      </c>
      <c r="I218" s="17"/>
      <c r="J218" s="17">
        <v>0</v>
      </c>
      <c r="K218" s="17"/>
      <c r="L218" s="17">
        <v>0</v>
      </c>
      <c r="M218" s="22"/>
      <c r="N218" s="17">
        <v>0</v>
      </c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0</v>
      </c>
      <c r="F219" s="17"/>
      <c r="G219" s="17">
        <v>0</v>
      </c>
      <c r="H219" s="16"/>
      <c r="I219" s="17">
        <v>0</v>
      </c>
      <c r="J219" s="17"/>
      <c r="K219" s="17">
        <v>0</v>
      </c>
      <c r="L219" s="17"/>
      <c r="M219" s="22">
        <v>0</v>
      </c>
      <c r="N219" s="17"/>
      <c r="O219" s="22">
        <v>0</v>
      </c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0</v>
      </c>
      <c r="E220" s="17"/>
      <c r="F220" s="17">
        <v>0</v>
      </c>
      <c r="G220" s="17"/>
      <c r="H220" s="16">
        <v>0</v>
      </c>
      <c r="I220" s="17"/>
      <c r="J220" s="17">
        <v>0</v>
      </c>
      <c r="K220" s="17"/>
      <c r="L220" s="17">
        <v>0</v>
      </c>
      <c r="M220" s="22"/>
      <c r="N220" s="17">
        <v>0</v>
      </c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0</v>
      </c>
      <c r="F221" s="17"/>
      <c r="G221" s="17">
        <v>0</v>
      </c>
      <c r="H221" s="16"/>
      <c r="I221" s="17">
        <v>0</v>
      </c>
      <c r="J221" s="17"/>
      <c r="K221" s="17">
        <v>0</v>
      </c>
      <c r="L221" s="17"/>
      <c r="M221" s="22">
        <v>0</v>
      </c>
      <c r="N221" s="17"/>
      <c r="O221" s="22">
        <v>0</v>
      </c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0</v>
      </c>
      <c r="E222" s="17"/>
      <c r="F222" s="17">
        <v>0</v>
      </c>
      <c r="G222" s="17"/>
      <c r="H222" s="16">
        <v>0</v>
      </c>
      <c r="I222" s="17"/>
      <c r="J222" s="17">
        <v>0</v>
      </c>
      <c r="K222" s="17"/>
      <c r="L222" s="17">
        <v>0</v>
      </c>
      <c r="M222" s="22"/>
      <c r="N222" s="17">
        <v>0</v>
      </c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0</v>
      </c>
      <c r="F223" s="17"/>
      <c r="G223" s="17">
        <v>0</v>
      </c>
      <c r="H223" s="16"/>
      <c r="I223" s="17">
        <v>0</v>
      </c>
      <c r="J223" s="17"/>
      <c r="K223" s="17">
        <v>0</v>
      </c>
      <c r="L223" s="17"/>
      <c r="M223" s="22">
        <v>0</v>
      </c>
      <c r="N223" s="17"/>
      <c r="O223" s="22">
        <v>0</v>
      </c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0</v>
      </c>
      <c r="E224" s="17"/>
      <c r="F224" s="17">
        <v>0</v>
      </c>
      <c r="G224" s="17"/>
      <c r="H224" s="16">
        <v>0</v>
      </c>
      <c r="I224" s="17"/>
      <c r="J224" s="17">
        <v>0</v>
      </c>
      <c r="K224" s="17"/>
      <c r="L224" s="17">
        <v>0</v>
      </c>
      <c r="M224" s="22"/>
      <c r="N224" s="17">
        <v>0</v>
      </c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0</v>
      </c>
      <c r="F225" s="17"/>
      <c r="G225" s="17">
        <v>0</v>
      </c>
      <c r="H225" s="16"/>
      <c r="I225" s="17">
        <v>0</v>
      </c>
      <c r="J225" s="17"/>
      <c r="K225" s="17">
        <v>0</v>
      </c>
      <c r="L225" s="17"/>
      <c r="M225" s="22">
        <v>0</v>
      </c>
      <c r="N225" s="17"/>
      <c r="O225" s="22">
        <v>0</v>
      </c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>
        <v>0</v>
      </c>
      <c r="I226" s="17"/>
      <c r="J226" s="17">
        <v>0</v>
      </c>
      <c r="K226" s="17"/>
      <c r="L226" s="17">
        <v>0</v>
      </c>
      <c r="M226" s="22"/>
      <c r="N226" s="17">
        <v>0</v>
      </c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>
        <v>0</v>
      </c>
      <c r="J227" s="17"/>
      <c r="K227" s="17">
        <v>0</v>
      </c>
      <c r="L227" s="17"/>
      <c r="M227" s="22">
        <v>0</v>
      </c>
      <c r="N227" s="17"/>
      <c r="O227" s="22">
        <v>0</v>
      </c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>
        <v>0</v>
      </c>
      <c r="I228" s="17"/>
      <c r="J228" s="17">
        <v>0</v>
      </c>
      <c r="K228" s="17"/>
      <c r="L228" s="17">
        <v>0</v>
      </c>
      <c r="M228" s="22"/>
      <c r="N228" s="17">
        <v>0</v>
      </c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>
        <v>0</v>
      </c>
      <c r="J229" s="17"/>
      <c r="K229" s="17">
        <v>0</v>
      </c>
      <c r="L229" s="17"/>
      <c r="M229" s="22">
        <v>0</v>
      </c>
      <c r="N229" s="17"/>
      <c r="O229" s="22">
        <v>0</v>
      </c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>
        <v>0</v>
      </c>
      <c r="I230" s="17"/>
      <c r="J230" s="17">
        <v>0</v>
      </c>
      <c r="K230" s="17"/>
      <c r="L230" s="17">
        <v>0</v>
      </c>
      <c r="M230" s="22"/>
      <c r="N230" s="17">
        <v>0</v>
      </c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>
        <v>0</v>
      </c>
      <c r="J231" s="17"/>
      <c r="K231" s="17">
        <v>0</v>
      </c>
      <c r="L231" s="17"/>
      <c r="M231" s="22">
        <v>0</v>
      </c>
      <c r="N231" s="17"/>
      <c r="O231" s="22">
        <v>0</v>
      </c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>
        <v>0</v>
      </c>
      <c r="I232" s="17"/>
      <c r="J232" s="17">
        <v>0</v>
      </c>
      <c r="K232" s="17"/>
      <c r="L232" s="17">
        <v>0</v>
      </c>
      <c r="M232" s="22"/>
      <c r="N232" s="17">
        <v>0</v>
      </c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>
        <v>0</v>
      </c>
      <c r="J233" s="17"/>
      <c r="K233" s="17">
        <v>0</v>
      </c>
      <c r="L233" s="17"/>
      <c r="M233" s="22">
        <v>0</v>
      </c>
      <c r="N233" s="17"/>
      <c r="O233" s="22">
        <v>0</v>
      </c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>
        <v>0</v>
      </c>
      <c r="I234" s="17"/>
      <c r="J234" s="17">
        <v>0</v>
      </c>
      <c r="K234" s="17"/>
      <c r="L234" s="17">
        <v>0</v>
      </c>
      <c r="M234" s="22"/>
      <c r="N234" s="17">
        <v>0</v>
      </c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>
        <v>0</v>
      </c>
      <c r="J235" s="17"/>
      <c r="K235" s="17">
        <v>0</v>
      </c>
      <c r="L235" s="17"/>
      <c r="M235" s="22">
        <v>0</v>
      </c>
      <c r="N235" s="17"/>
      <c r="O235" s="22">
        <v>0</v>
      </c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>
        <v>0</v>
      </c>
      <c r="I236" s="17"/>
      <c r="J236" s="17">
        <v>0</v>
      </c>
      <c r="K236" s="17"/>
      <c r="L236" s="17">
        <v>0</v>
      </c>
      <c r="M236" s="22"/>
      <c r="N236" s="17">
        <v>0</v>
      </c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>
        <v>0</v>
      </c>
      <c r="J237" s="17"/>
      <c r="K237" s="17">
        <v>0</v>
      </c>
      <c r="L237" s="17"/>
      <c r="M237" s="22">
        <v>0</v>
      </c>
      <c r="N237" s="17"/>
      <c r="O237" s="22">
        <v>0</v>
      </c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>
        <v>0</v>
      </c>
      <c r="I238" s="17"/>
      <c r="J238" s="17">
        <v>0</v>
      </c>
      <c r="K238" s="17"/>
      <c r="L238" s="17">
        <v>0</v>
      </c>
      <c r="M238" s="22"/>
      <c r="N238" s="17">
        <v>0</v>
      </c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>
        <v>0</v>
      </c>
      <c r="J239" s="17"/>
      <c r="K239" s="17">
        <v>0</v>
      </c>
      <c r="L239" s="17"/>
      <c r="M239" s="22">
        <v>0</v>
      </c>
      <c r="N239" s="17"/>
      <c r="O239" s="22">
        <v>0</v>
      </c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>
        <v>0</v>
      </c>
      <c r="I240" s="17"/>
      <c r="J240" s="17">
        <v>0</v>
      </c>
      <c r="K240" s="17"/>
      <c r="L240" s="17">
        <v>0</v>
      </c>
      <c r="M240" s="22"/>
      <c r="N240" s="17">
        <v>0</v>
      </c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>
        <v>0</v>
      </c>
      <c r="J241" s="17"/>
      <c r="K241" s="17">
        <v>0</v>
      </c>
      <c r="L241" s="17"/>
      <c r="M241" s="22">
        <v>0</v>
      </c>
      <c r="N241" s="17"/>
      <c r="O241" s="22">
        <v>0</v>
      </c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>
        <v>0</v>
      </c>
      <c r="I242" s="17"/>
      <c r="J242" s="17">
        <v>0</v>
      </c>
      <c r="K242" s="17"/>
      <c r="L242" s="17">
        <v>0</v>
      </c>
      <c r="M242" s="22"/>
      <c r="N242" s="17">
        <v>0</v>
      </c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>
        <v>0</v>
      </c>
      <c r="J243" s="17"/>
      <c r="K243" s="17">
        <v>0</v>
      </c>
      <c r="L243" s="17"/>
      <c r="M243" s="22">
        <v>0</v>
      </c>
      <c r="N243" s="17"/>
      <c r="O243" s="22">
        <v>0</v>
      </c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>
        <v>0</v>
      </c>
      <c r="I244" s="17"/>
      <c r="J244" s="17">
        <v>0</v>
      </c>
      <c r="K244" s="17"/>
      <c r="L244" s="17">
        <v>0</v>
      </c>
      <c r="M244" s="22"/>
      <c r="N244" s="17">
        <v>0</v>
      </c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>
        <v>0</v>
      </c>
      <c r="J245" s="17"/>
      <c r="K245" s="17">
        <v>0</v>
      </c>
      <c r="L245" s="17"/>
      <c r="M245" s="22">
        <v>0</v>
      </c>
      <c r="N245" s="17"/>
      <c r="O245" s="22">
        <v>0</v>
      </c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>
        <v>0</v>
      </c>
      <c r="I246" s="17"/>
      <c r="J246" s="17">
        <v>0</v>
      </c>
      <c r="K246" s="17"/>
      <c r="L246" s="17">
        <v>0</v>
      </c>
      <c r="M246" s="22"/>
      <c r="N246" s="17">
        <v>0</v>
      </c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>
        <v>0</v>
      </c>
      <c r="J247" s="17"/>
      <c r="K247" s="17">
        <v>0</v>
      </c>
      <c r="L247" s="17"/>
      <c r="M247" s="22">
        <v>0</v>
      </c>
      <c r="N247" s="17"/>
      <c r="O247" s="22">
        <v>0</v>
      </c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>
        <v>0</v>
      </c>
      <c r="I248" s="17"/>
      <c r="J248" s="17">
        <v>0</v>
      </c>
      <c r="K248" s="17"/>
      <c r="L248" s="17">
        <v>0</v>
      </c>
      <c r="M248" s="22"/>
      <c r="N248" s="17">
        <v>0</v>
      </c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0</v>
      </c>
      <c r="F249" s="17"/>
      <c r="G249" s="17">
        <v>0</v>
      </c>
      <c r="H249" s="16"/>
      <c r="I249" s="17">
        <v>0</v>
      </c>
      <c r="J249" s="17"/>
      <c r="K249" s="17">
        <v>0</v>
      </c>
      <c r="L249" s="17"/>
      <c r="M249" s="22">
        <v>0</v>
      </c>
      <c r="N249" s="17"/>
      <c r="O249" s="22">
        <v>0</v>
      </c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0</v>
      </c>
      <c r="E250" s="17"/>
      <c r="F250" s="17">
        <v>0</v>
      </c>
      <c r="G250" s="17"/>
      <c r="H250" s="16">
        <v>0</v>
      </c>
      <c r="I250" s="17"/>
      <c r="J250" s="17">
        <v>0</v>
      </c>
      <c r="K250" s="17"/>
      <c r="L250" s="17">
        <v>0</v>
      </c>
      <c r="M250" s="22"/>
      <c r="N250" s="17">
        <v>0</v>
      </c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849.13</v>
      </c>
      <c r="F251" s="17"/>
      <c r="G251" s="17">
        <v>181.25</v>
      </c>
      <c r="H251" s="16"/>
      <c r="I251" s="17">
        <v>849.13</v>
      </c>
      <c r="J251" s="17"/>
      <c r="K251" s="17">
        <v>181.25</v>
      </c>
      <c r="L251" s="17"/>
      <c r="M251" s="22">
        <v>849.13</v>
      </c>
      <c r="N251" s="17"/>
      <c r="O251" s="22">
        <v>181.25</v>
      </c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67.93</v>
      </c>
      <c r="E252" s="17"/>
      <c r="F252" s="17">
        <v>14.5</v>
      </c>
      <c r="G252" s="17"/>
      <c r="H252" s="16">
        <v>67.93</v>
      </c>
      <c r="I252" s="17"/>
      <c r="J252" s="17">
        <v>14.5</v>
      </c>
      <c r="K252" s="17"/>
      <c r="L252" s="16">
        <v>67.93</v>
      </c>
      <c r="M252" s="22"/>
      <c r="N252" s="17">
        <v>14.5</v>
      </c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2583.63</v>
      </c>
      <c r="F253" s="17"/>
      <c r="G253" s="17">
        <v>436.63</v>
      </c>
      <c r="H253" s="16"/>
      <c r="I253" s="17">
        <v>2583.63</v>
      </c>
      <c r="J253" s="17"/>
      <c r="K253" s="17">
        <v>436.63</v>
      </c>
      <c r="L253" s="16"/>
      <c r="M253" s="22">
        <v>2539.25</v>
      </c>
      <c r="N253" s="17"/>
      <c r="O253" s="22">
        <v>436.63</v>
      </c>
      <c r="P253" s="19">
        <f t="shared" ref="P253:P257" si="40">I253+K253-M253-O253</f>
        <v>44.3800000000002</v>
      </c>
    </row>
    <row r="254" ht="12" customHeight="1" spans="1:16">
      <c r="A254" s="14">
        <v>123</v>
      </c>
      <c r="B254" s="15" t="s">
        <v>138</v>
      </c>
      <c r="C254" s="18"/>
      <c r="D254" s="16">
        <v>138.76</v>
      </c>
      <c r="E254" s="17"/>
      <c r="F254" s="17">
        <v>20.43</v>
      </c>
      <c r="G254" s="17"/>
      <c r="H254" s="16">
        <v>138.76</v>
      </c>
      <c r="I254" s="17"/>
      <c r="J254" s="17">
        <v>20.43</v>
      </c>
      <c r="K254" s="17"/>
      <c r="L254" s="16">
        <v>135.21</v>
      </c>
      <c r="M254" s="22"/>
      <c r="N254" s="17">
        <v>20.43</v>
      </c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3524</v>
      </c>
      <c r="F255" s="17"/>
      <c r="G255" s="17">
        <v>467.88</v>
      </c>
      <c r="H255" s="16"/>
      <c r="I255" s="17">
        <v>3524</v>
      </c>
      <c r="J255" s="17"/>
      <c r="K255" s="17">
        <v>467.88</v>
      </c>
      <c r="L255" s="16"/>
      <c r="M255" s="22">
        <v>2729.25</v>
      </c>
      <c r="N255" s="17"/>
      <c r="O255" s="22">
        <v>467.88</v>
      </c>
      <c r="P255" s="19">
        <f t="shared" si="40"/>
        <v>794.75</v>
      </c>
    </row>
    <row r="256" ht="12" customHeight="1" spans="1:16">
      <c r="A256" s="14">
        <v>124</v>
      </c>
      <c r="B256" s="15" t="s">
        <v>139</v>
      </c>
      <c r="C256" s="18"/>
      <c r="D256" s="16">
        <v>143.16</v>
      </c>
      <c r="E256" s="17"/>
      <c r="F256" s="17">
        <v>17</v>
      </c>
      <c r="G256" s="17"/>
      <c r="H256" s="16">
        <v>143.16</v>
      </c>
      <c r="I256" s="17"/>
      <c r="J256" s="17">
        <v>17</v>
      </c>
      <c r="K256" s="17"/>
      <c r="L256" s="17">
        <v>135.08</v>
      </c>
      <c r="M256" s="22"/>
      <c r="N256" s="17">
        <v>17</v>
      </c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3778</v>
      </c>
      <c r="F257" s="17"/>
      <c r="G257" s="17">
        <v>463.88</v>
      </c>
      <c r="H257" s="16"/>
      <c r="I257" s="17">
        <v>3778</v>
      </c>
      <c r="J257" s="17"/>
      <c r="K257" s="17">
        <v>463.88</v>
      </c>
      <c r="L257" s="17"/>
      <c r="M257" s="22">
        <v>3533.75</v>
      </c>
      <c r="N257" s="17"/>
      <c r="O257" s="22">
        <v>463.88</v>
      </c>
      <c r="P257" s="19">
        <f t="shared" si="40"/>
        <v>244.25</v>
      </c>
    </row>
    <row r="258" ht="12" customHeight="1" spans="1:16">
      <c r="A258" s="14">
        <v>125</v>
      </c>
      <c r="B258" s="15" t="s">
        <v>140</v>
      </c>
      <c r="C258" s="18"/>
      <c r="D258" s="16">
        <v>159.08</v>
      </c>
      <c r="E258" s="17"/>
      <c r="F258" s="17">
        <v>20.11</v>
      </c>
      <c r="G258" s="17"/>
      <c r="H258" s="16">
        <v>159.08</v>
      </c>
      <c r="I258" s="17"/>
      <c r="J258" s="17">
        <v>20.11</v>
      </c>
      <c r="K258" s="17"/>
      <c r="L258" s="17">
        <v>147.62</v>
      </c>
      <c r="M258" s="22"/>
      <c r="N258" s="17">
        <v>20.11</v>
      </c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4486.13</v>
      </c>
      <c r="F259" s="17"/>
      <c r="G259" s="17">
        <v>539.25</v>
      </c>
      <c r="H259" s="16"/>
      <c r="I259" s="17">
        <v>4447.37</v>
      </c>
      <c r="J259" s="17"/>
      <c r="K259" s="17">
        <v>539.25</v>
      </c>
      <c r="L259" s="17"/>
      <c r="M259" s="22">
        <v>4129.88</v>
      </c>
      <c r="N259" s="17"/>
      <c r="O259" s="22">
        <v>539.25</v>
      </c>
      <c r="P259" s="19">
        <f t="shared" ref="P259:P263" si="41">I259+K259-M259-O259</f>
        <v>317.49</v>
      </c>
    </row>
    <row r="260" ht="12" customHeight="1" spans="1:16">
      <c r="A260" s="14">
        <v>126</v>
      </c>
      <c r="B260" s="15" t="s">
        <v>141</v>
      </c>
      <c r="C260" s="18"/>
      <c r="D260" s="16">
        <v>199.81</v>
      </c>
      <c r="E260" s="17"/>
      <c r="F260" s="17">
        <v>23.03</v>
      </c>
      <c r="G260" s="17"/>
      <c r="H260" s="16">
        <v>196.71</v>
      </c>
      <c r="I260" s="17"/>
      <c r="J260" s="17">
        <v>23.03</v>
      </c>
      <c r="K260" s="17"/>
      <c r="L260" s="17">
        <v>182.77</v>
      </c>
      <c r="M260" s="22"/>
      <c r="N260" s="17">
        <v>23.03</v>
      </c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4932.13</v>
      </c>
      <c r="F261" s="17"/>
      <c r="G261" s="17">
        <v>583.75</v>
      </c>
      <c r="H261" s="16"/>
      <c r="I261" s="17">
        <v>4893.37</v>
      </c>
      <c r="J261" s="17"/>
      <c r="K261" s="17">
        <v>583.75</v>
      </c>
      <c r="L261" s="17"/>
      <c r="M261" s="22">
        <v>4624.88</v>
      </c>
      <c r="N261" s="17"/>
      <c r="O261" s="22">
        <v>583.75</v>
      </c>
      <c r="P261" s="19">
        <f t="shared" si="41"/>
        <v>268.49</v>
      </c>
    </row>
    <row r="262" ht="12" customHeight="1" spans="1:16">
      <c r="A262" s="14">
        <v>127</v>
      </c>
      <c r="B262" s="15" t="s">
        <v>142</v>
      </c>
      <c r="C262" s="18"/>
      <c r="D262" s="16">
        <v>194.76</v>
      </c>
      <c r="E262" s="17"/>
      <c r="F262" s="17">
        <v>23.67</v>
      </c>
      <c r="G262" s="17"/>
      <c r="H262" s="16">
        <v>194.76</v>
      </c>
      <c r="I262" s="17"/>
      <c r="J262" s="17">
        <v>23.67</v>
      </c>
      <c r="K262" s="17"/>
      <c r="L262" s="17">
        <v>187.22</v>
      </c>
      <c r="M262" s="22"/>
      <c r="N262" s="17">
        <v>23.67</v>
      </c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5112.75</v>
      </c>
      <c r="F263" s="17"/>
      <c r="G263" s="17">
        <v>593.25</v>
      </c>
      <c r="H263" s="16"/>
      <c r="I263" s="17">
        <v>5037.75</v>
      </c>
      <c r="J263" s="17"/>
      <c r="K263" s="17">
        <v>593.25</v>
      </c>
      <c r="L263" s="17"/>
      <c r="M263" s="22">
        <v>4913.25</v>
      </c>
      <c r="N263" s="17"/>
      <c r="O263" s="22">
        <v>593.25</v>
      </c>
      <c r="P263" s="19">
        <f t="shared" si="41"/>
        <v>124.5</v>
      </c>
    </row>
    <row r="264" ht="12" customHeight="1" spans="1:16">
      <c r="A264" s="14">
        <v>128</v>
      </c>
      <c r="B264" s="15" t="s">
        <v>143</v>
      </c>
      <c r="C264" s="18"/>
      <c r="D264" s="16">
        <v>214.26</v>
      </c>
      <c r="E264" s="17"/>
      <c r="F264" s="17">
        <v>23.79</v>
      </c>
      <c r="G264" s="17"/>
      <c r="H264" s="16">
        <v>208.26</v>
      </c>
      <c r="I264" s="17"/>
      <c r="J264" s="17">
        <v>23.79</v>
      </c>
      <c r="K264" s="17"/>
      <c r="L264" s="17">
        <v>205.84</v>
      </c>
      <c r="M264" s="22"/>
      <c r="N264" s="17">
        <v>23.79</v>
      </c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5280.13</v>
      </c>
      <c r="F265" s="17"/>
      <c r="G265" s="17">
        <v>603.5</v>
      </c>
      <c r="H265" s="16"/>
      <c r="I265" s="17">
        <v>5167.66</v>
      </c>
      <c r="J265" s="17"/>
      <c r="K265" s="17">
        <v>603.5</v>
      </c>
      <c r="L265" s="17"/>
      <c r="M265" s="22">
        <v>4982</v>
      </c>
      <c r="N265" s="17"/>
      <c r="O265" s="22">
        <v>603.5</v>
      </c>
      <c r="P265" s="19">
        <f t="shared" ref="P265:P269" si="42">I265+K265-M265-O265</f>
        <v>185.66</v>
      </c>
    </row>
    <row r="266" ht="12" customHeight="1" spans="1:16">
      <c r="A266" s="14">
        <v>129</v>
      </c>
      <c r="B266" s="15" t="s">
        <v>144</v>
      </c>
      <c r="C266" s="18"/>
      <c r="D266" s="16">
        <v>208.15</v>
      </c>
      <c r="E266" s="17"/>
      <c r="F266" s="17">
        <v>24.49</v>
      </c>
      <c r="G266" s="17"/>
      <c r="H266" s="16">
        <v>205.15</v>
      </c>
      <c r="I266" s="17"/>
      <c r="J266" s="17">
        <v>24.49</v>
      </c>
      <c r="K266" s="17"/>
      <c r="L266" s="17">
        <v>192.72</v>
      </c>
      <c r="M266" s="22"/>
      <c r="N266" s="17">
        <v>24.49</v>
      </c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5073</v>
      </c>
      <c r="F267" s="17"/>
      <c r="G267" s="17">
        <v>614.63</v>
      </c>
      <c r="H267" s="16"/>
      <c r="I267" s="17">
        <v>5035.54</v>
      </c>
      <c r="J267" s="17"/>
      <c r="K267" s="17">
        <v>614.63</v>
      </c>
      <c r="L267" s="17"/>
      <c r="M267" s="22">
        <v>4704.88</v>
      </c>
      <c r="N267" s="17"/>
      <c r="O267" s="22">
        <v>614.63</v>
      </c>
      <c r="P267" s="19">
        <f t="shared" si="42"/>
        <v>330.66</v>
      </c>
    </row>
    <row r="268" ht="12" customHeight="1" spans="1:16">
      <c r="A268" s="14">
        <v>130</v>
      </c>
      <c r="B268" s="15" t="s">
        <v>145</v>
      </c>
      <c r="C268" s="18"/>
      <c r="D268" s="16">
        <v>197.69</v>
      </c>
      <c r="E268" s="17"/>
      <c r="F268" s="17">
        <v>24.68</v>
      </c>
      <c r="G268" s="17"/>
      <c r="H268" s="16">
        <v>197.69</v>
      </c>
      <c r="I268" s="17"/>
      <c r="J268" s="17">
        <v>24.68</v>
      </c>
      <c r="K268" s="17"/>
      <c r="L268" s="17">
        <v>183.67</v>
      </c>
      <c r="M268" s="22"/>
      <c r="N268" s="17">
        <v>24.68</v>
      </c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4996.88</v>
      </c>
      <c r="F269" s="17"/>
      <c r="G269" s="17">
        <v>637.13</v>
      </c>
      <c r="H269" s="16"/>
      <c r="I269" s="17">
        <v>4927.18</v>
      </c>
      <c r="J269" s="17"/>
      <c r="K269" s="17">
        <v>637.13</v>
      </c>
      <c r="L269" s="17"/>
      <c r="M269" s="22">
        <v>4671.38</v>
      </c>
      <c r="N269" s="17"/>
      <c r="O269" s="22">
        <v>637.13</v>
      </c>
      <c r="P269" s="19">
        <f t="shared" si="42"/>
        <v>255.8</v>
      </c>
    </row>
    <row r="270" ht="12" customHeight="1" spans="1:16">
      <c r="A270" s="14">
        <v>131</v>
      </c>
      <c r="B270" s="15" t="s">
        <v>146</v>
      </c>
      <c r="C270" s="18"/>
      <c r="D270" s="16">
        <v>202.06</v>
      </c>
      <c r="E270" s="17"/>
      <c r="F270" s="17">
        <v>26.29</v>
      </c>
      <c r="G270" s="17"/>
      <c r="H270" s="16">
        <v>196.48</v>
      </c>
      <c r="I270" s="17"/>
      <c r="J270" s="17">
        <v>26.29</v>
      </c>
      <c r="K270" s="17"/>
      <c r="L270" s="17">
        <v>190.04</v>
      </c>
      <c r="M270" s="22"/>
      <c r="N270" s="17">
        <v>26.29</v>
      </c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4705.13</v>
      </c>
      <c r="F271" s="17"/>
      <c r="G271" s="17">
        <v>608</v>
      </c>
      <c r="H271" s="16"/>
      <c r="I271" s="17">
        <v>4635.43</v>
      </c>
      <c r="J271" s="17"/>
      <c r="K271" s="17">
        <v>608</v>
      </c>
      <c r="L271" s="17"/>
      <c r="M271" s="22">
        <v>4455.75</v>
      </c>
      <c r="N271" s="17"/>
      <c r="O271" s="22">
        <v>608</v>
      </c>
      <c r="P271" s="19">
        <f t="shared" ref="P271:P275" si="43">I271+K271-M271-O271</f>
        <v>179.68</v>
      </c>
    </row>
    <row r="272" ht="12" customHeight="1" spans="1:16">
      <c r="A272" s="14">
        <v>132</v>
      </c>
      <c r="B272" s="15" t="s">
        <v>147</v>
      </c>
      <c r="C272" s="18"/>
      <c r="D272" s="16">
        <v>174.35</v>
      </c>
      <c r="E272" s="17"/>
      <c r="F272" s="17">
        <v>22.35</v>
      </c>
      <c r="G272" s="17"/>
      <c r="H272" s="16">
        <v>174.35</v>
      </c>
      <c r="I272" s="17"/>
      <c r="J272" s="17">
        <v>22.35</v>
      </c>
      <c r="K272" s="17"/>
      <c r="L272" s="17">
        <v>166.42</v>
      </c>
      <c r="M272" s="22"/>
      <c r="N272" s="17">
        <v>22.35</v>
      </c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4449.25</v>
      </c>
      <c r="F273" s="17"/>
      <c r="G273" s="17">
        <v>544.13</v>
      </c>
      <c r="H273" s="16"/>
      <c r="I273" s="17">
        <v>4393.46</v>
      </c>
      <c r="J273" s="17"/>
      <c r="K273" s="17">
        <v>544.13</v>
      </c>
      <c r="L273" s="17"/>
      <c r="M273" s="22">
        <v>4181.13</v>
      </c>
      <c r="N273" s="17"/>
      <c r="O273" s="22">
        <v>544.13</v>
      </c>
      <c r="P273" s="19">
        <f t="shared" si="43"/>
        <v>212.33</v>
      </c>
    </row>
    <row r="274" ht="12" customHeight="1" spans="1:16">
      <c r="A274" s="14">
        <v>133</v>
      </c>
      <c r="B274" s="15" t="s">
        <v>148</v>
      </c>
      <c r="C274" s="18"/>
      <c r="D274" s="16">
        <v>181.59</v>
      </c>
      <c r="E274" s="17"/>
      <c r="F274" s="17">
        <v>21.18</v>
      </c>
      <c r="G274" s="17"/>
      <c r="H274" s="16">
        <v>177.13</v>
      </c>
      <c r="I274" s="17"/>
      <c r="J274" s="17">
        <v>21.18</v>
      </c>
      <c r="K274" s="17"/>
      <c r="L274" s="17">
        <v>168.07</v>
      </c>
      <c r="M274" s="22"/>
      <c r="N274" s="17">
        <v>21.18</v>
      </c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4454.63</v>
      </c>
      <c r="F275" s="17"/>
      <c r="G275" s="17">
        <v>515.63</v>
      </c>
      <c r="H275" s="16"/>
      <c r="I275" s="17">
        <v>4323.99</v>
      </c>
      <c r="J275" s="17"/>
      <c r="K275" s="17">
        <v>515.63</v>
      </c>
      <c r="L275" s="17"/>
      <c r="M275" s="22">
        <v>4122.97</v>
      </c>
      <c r="N275" s="17"/>
      <c r="O275" s="22">
        <v>515.63</v>
      </c>
      <c r="P275" s="19">
        <f t="shared" si="43"/>
        <v>201.02</v>
      </c>
    </row>
    <row r="276" ht="12" customHeight="1" spans="1:16">
      <c r="A276" s="14">
        <v>134</v>
      </c>
      <c r="B276" s="15" t="s">
        <v>149</v>
      </c>
      <c r="C276" s="18"/>
      <c r="D276" s="16">
        <v>174.78</v>
      </c>
      <c r="E276" s="17"/>
      <c r="F276" s="17">
        <v>20.07</v>
      </c>
      <c r="G276" s="17"/>
      <c r="H276" s="16">
        <v>168.79</v>
      </c>
      <c r="I276" s="17"/>
      <c r="J276" s="17">
        <v>20.07</v>
      </c>
      <c r="K276" s="17"/>
      <c r="L276" s="17">
        <v>161.77</v>
      </c>
      <c r="M276" s="22"/>
      <c r="N276" s="17">
        <v>20.07</v>
      </c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4106.75</v>
      </c>
      <c r="F277" s="17"/>
      <c r="G277" s="17">
        <v>492.25</v>
      </c>
      <c r="H277" s="16"/>
      <c r="I277" s="17">
        <v>3964.16</v>
      </c>
      <c r="J277" s="17"/>
      <c r="K277" s="17">
        <v>492.25</v>
      </c>
      <c r="L277" s="17"/>
      <c r="M277" s="22">
        <v>3882.9</v>
      </c>
      <c r="N277" s="17"/>
      <c r="O277" s="22">
        <v>492.25</v>
      </c>
      <c r="P277" s="19">
        <f t="shared" ref="P277:P281" si="44">I277+K277-M277-O277</f>
        <v>81.2599999999998</v>
      </c>
    </row>
    <row r="278" ht="12" customHeight="1" spans="1:16">
      <c r="A278" s="14">
        <v>135</v>
      </c>
      <c r="B278" s="15" t="s">
        <v>150</v>
      </c>
      <c r="C278" s="18"/>
      <c r="D278" s="16">
        <v>153.76</v>
      </c>
      <c r="E278" s="17"/>
      <c r="F278" s="17">
        <v>19.31</v>
      </c>
      <c r="G278" s="17"/>
      <c r="H278" s="16">
        <v>148.34</v>
      </c>
      <c r="I278" s="17"/>
      <c r="J278" s="17">
        <v>19.31</v>
      </c>
      <c r="K278" s="17"/>
      <c r="L278" s="17">
        <v>148.86</v>
      </c>
      <c r="M278" s="22"/>
      <c r="N278" s="17">
        <v>19.31</v>
      </c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4058.88</v>
      </c>
      <c r="F279" s="17"/>
      <c r="G279" s="17">
        <v>498.63</v>
      </c>
      <c r="H279" s="16"/>
      <c r="I279" s="17">
        <v>3951.97</v>
      </c>
      <c r="J279" s="17"/>
      <c r="K279" s="17">
        <v>498.63</v>
      </c>
      <c r="L279" s="17"/>
      <c r="M279" s="22">
        <v>3852.63</v>
      </c>
      <c r="N279" s="17"/>
      <c r="O279" s="22">
        <v>498.63</v>
      </c>
      <c r="P279" s="19">
        <f t="shared" si="44"/>
        <v>99.3399999999993</v>
      </c>
    </row>
    <row r="280" ht="12" customHeight="1" spans="1:16">
      <c r="A280" s="14">
        <v>136</v>
      </c>
      <c r="B280" s="15" t="s">
        <v>151</v>
      </c>
      <c r="C280" s="18"/>
      <c r="D280" s="16">
        <v>170.95</v>
      </c>
      <c r="E280" s="17"/>
      <c r="F280" s="17">
        <v>20.58</v>
      </c>
      <c r="G280" s="17"/>
      <c r="H280" s="16">
        <v>167.82</v>
      </c>
      <c r="I280" s="17"/>
      <c r="J280" s="17">
        <v>20.58</v>
      </c>
      <c r="K280" s="17"/>
      <c r="L280" s="17">
        <v>159.35</v>
      </c>
      <c r="M280" s="22"/>
      <c r="N280" s="17">
        <v>20.58</v>
      </c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4689.88</v>
      </c>
      <c r="F281" s="17"/>
      <c r="G281" s="17">
        <v>530.38</v>
      </c>
      <c r="H281" s="16"/>
      <c r="I281" s="17">
        <v>4585.93</v>
      </c>
      <c r="J281" s="17"/>
      <c r="K281" s="17">
        <v>530.38</v>
      </c>
      <c r="L281" s="17"/>
      <c r="M281" s="22">
        <v>4335.75</v>
      </c>
      <c r="N281" s="17"/>
      <c r="O281" s="22">
        <v>530.38</v>
      </c>
      <c r="P281" s="19">
        <f t="shared" si="44"/>
        <v>250.18</v>
      </c>
    </row>
    <row r="282" ht="12" customHeight="1" spans="1:16">
      <c r="A282" s="14">
        <v>137</v>
      </c>
      <c r="B282" s="15" t="s">
        <v>152</v>
      </c>
      <c r="C282" s="18"/>
      <c r="D282" s="16">
        <v>204.24</v>
      </c>
      <c r="E282" s="17"/>
      <c r="F282" s="17">
        <v>21.85</v>
      </c>
      <c r="G282" s="17"/>
      <c r="H282" s="16">
        <v>199.06</v>
      </c>
      <c r="I282" s="17"/>
      <c r="J282" s="17">
        <v>21.85</v>
      </c>
      <c r="K282" s="17"/>
      <c r="L282" s="17">
        <v>187.51</v>
      </c>
      <c r="M282" s="22"/>
      <c r="N282" s="17">
        <v>21.85</v>
      </c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5070.38</v>
      </c>
      <c r="F283" s="17"/>
      <c r="G283" s="17">
        <v>562</v>
      </c>
      <c r="H283" s="16"/>
      <c r="I283" s="17">
        <v>4921.5</v>
      </c>
      <c r="J283" s="17"/>
      <c r="K283" s="17">
        <v>562</v>
      </c>
      <c r="L283" s="17"/>
      <c r="M283" s="22">
        <v>4749.63</v>
      </c>
      <c r="N283" s="17"/>
      <c r="O283" s="22">
        <v>562</v>
      </c>
      <c r="P283" s="19">
        <f t="shared" ref="P283:P287" si="45">I283+K283-M283-O283</f>
        <v>171.87</v>
      </c>
    </row>
    <row r="284" ht="12" customHeight="1" spans="1:16">
      <c r="A284" s="14">
        <v>138</v>
      </c>
      <c r="B284" s="15" t="s">
        <v>153</v>
      </c>
      <c r="C284" s="18"/>
      <c r="D284" s="16">
        <v>201.39</v>
      </c>
      <c r="E284" s="17"/>
      <c r="F284" s="17">
        <v>23.11</v>
      </c>
      <c r="G284" s="17"/>
      <c r="H284" s="16">
        <v>194.66</v>
      </c>
      <c r="I284" s="17"/>
      <c r="J284" s="17">
        <v>23.11</v>
      </c>
      <c r="K284" s="17"/>
      <c r="L284" s="17">
        <v>192.46</v>
      </c>
      <c r="M284" s="22"/>
      <c r="N284" s="17">
        <v>23.11</v>
      </c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4922.5</v>
      </c>
      <c r="F285" s="17"/>
      <c r="G285" s="17">
        <v>618.38</v>
      </c>
      <c r="H285" s="16"/>
      <c r="I285" s="17">
        <v>4723.15</v>
      </c>
      <c r="J285" s="17"/>
      <c r="K285" s="17">
        <v>618.38</v>
      </c>
      <c r="L285" s="17"/>
      <c r="M285" s="22">
        <v>4581.63</v>
      </c>
      <c r="N285" s="17"/>
      <c r="O285" s="22">
        <v>618.38</v>
      </c>
      <c r="P285" s="19">
        <f t="shared" si="45"/>
        <v>141.52</v>
      </c>
    </row>
    <row r="286" ht="12" customHeight="1" spans="1:16">
      <c r="A286" s="14">
        <v>139</v>
      </c>
      <c r="B286" s="15" t="s">
        <v>154</v>
      </c>
      <c r="C286" s="18"/>
      <c r="D286" s="16">
        <v>192.41</v>
      </c>
      <c r="E286" s="17"/>
      <c r="F286" s="17">
        <v>26.36</v>
      </c>
      <c r="G286" s="17"/>
      <c r="H286" s="16">
        <v>183.19</v>
      </c>
      <c r="I286" s="17"/>
      <c r="J286" s="17">
        <v>26.36</v>
      </c>
      <c r="K286" s="17"/>
      <c r="L286" s="17">
        <v>174.07</v>
      </c>
      <c r="M286" s="22"/>
      <c r="N286" s="17">
        <v>26.36</v>
      </c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5165.5</v>
      </c>
      <c r="F287" s="17"/>
      <c r="G287" s="17">
        <v>653</v>
      </c>
      <c r="H287" s="16"/>
      <c r="I287" s="17">
        <v>4934.13</v>
      </c>
      <c r="J287" s="17"/>
      <c r="K287" s="17">
        <v>653</v>
      </c>
      <c r="L287" s="17"/>
      <c r="M287" s="22">
        <v>4758.75</v>
      </c>
      <c r="N287" s="17"/>
      <c r="O287" s="22">
        <v>653</v>
      </c>
      <c r="P287" s="19">
        <f t="shared" si="45"/>
        <v>175.38</v>
      </c>
    </row>
    <row r="288" ht="12" customHeight="1" spans="1:16">
      <c r="A288" s="14">
        <v>140</v>
      </c>
      <c r="B288" s="15" t="s">
        <v>155</v>
      </c>
      <c r="C288" s="18"/>
      <c r="D288" s="16">
        <v>220.83</v>
      </c>
      <c r="E288" s="17"/>
      <c r="F288" s="17">
        <v>25.88</v>
      </c>
      <c r="G288" s="17"/>
      <c r="H288" s="16">
        <v>211.54</v>
      </c>
      <c r="I288" s="17"/>
      <c r="J288" s="17">
        <v>25.88</v>
      </c>
      <c r="K288" s="17"/>
      <c r="L288" s="17">
        <v>206.63</v>
      </c>
      <c r="M288" s="22"/>
      <c r="N288" s="17">
        <v>25.88</v>
      </c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5423.75</v>
      </c>
      <c r="F289" s="17"/>
      <c r="G289" s="17">
        <v>641.75</v>
      </c>
      <c r="H289" s="16"/>
      <c r="I289" s="17">
        <v>5264.5</v>
      </c>
      <c r="J289" s="17"/>
      <c r="K289" s="17">
        <v>641.75</v>
      </c>
      <c r="L289" s="17"/>
      <c r="M289" s="22">
        <v>5113.13</v>
      </c>
      <c r="N289" s="17"/>
      <c r="O289" s="22">
        <v>641.75</v>
      </c>
      <c r="P289" s="19">
        <f t="shared" ref="P289:P293" si="46">I289+K289-M289-O289</f>
        <v>151.37</v>
      </c>
    </row>
    <row r="290" ht="12" customHeight="1" spans="1:16">
      <c r="A290" s="14">
        <v>141</v>
      </c>
      <c r="B290" s="15" t="s">
        <v>156</v>
      </c>
      <c r="C290" s="18"/>
      <c r="D290" s="16">
        <v>213.07</v>
      </c>
      <c r="E290" s="17"/>
      <c r="F290" s="17">
        <v>25.46</v>
      </c>
      <c r="G290" s="17"/>
      <c r="H290" s="16">
        <v>209.62</v>
      </c>
      <c r="I290" s="17"/>
      <c r="J290" s="17">
        <v>25.46</v>
      </c>
      <c r="K290" s="17"/>
      <c r="L290" s="17">
        <v>202.42</v>
      </c>
      <c r="M290" s="22"/>
      <c r="N290" s="17">
        <v>25.46</v>
      </c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5394.13</v>
      </c>
      <c r="F291" s="17"/>
      <c r="G291" s="17">
        <v>643.13</v>
      </c>
      <c r="H291" s="16"/>
      <c r="I291" s="17">
        <v>5233.58</v>
      </c>
      <c r="J291" s="17"/>
      <c r="K291" s="17">
        <v>643.13</v>
      </c>
      <c r="L291" s="17"/>
      <c r="M291" s="22">
        <v>5016.5</v>
      </c>
      <c r="N291" s="17"/>
      <c r="O291" s="22">
        <v>643.13</v>
      </c>
      <c r="P291" s="19">
        <f t="shared" si="46"/>
        <v>217.08</v>
      </c>
    </row>
    <row r="292" ht="12" customHeight="1" spans="1:16">
      <c r="A292" s="14">
        <v>142</v>
      </c>
      <c r="B292" s="15" t="s">
        <v>157</v>
      </c>
      <c r="C292" s="18"/>
      <c r="D292" s="16">
        <v>218.46</v>
      </c>
      <c r="E292" s="17"/>
      <c r="F292" s="17">
        <v>25.99</v>
      </c>
      <c r="G292" s="17"/>
      <c r="H292" s="16">
        <v>209.07</v>
      </c>
      <c r="I292" s="17"/>
      <c r="J292" s="17">
        <v>25.99</v>
      </c>
      <c r="K292" s="17"/>
      <c r="L292" s="17">
        <v>198.9</v>
      </c>
      <c r="M292" s="22"/>
      <c r="N292" s="17">
        <v>25.99</v>
      </c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5068.75</v>
      </c>
      <c r="F293" s="17"/>
      <c r="G293" s="17">
        <v>661.38</v>
      </c>
      <c r="H293" s="16"/>
      <c r="I293" s="17">
        <v>4828.09</v>
      </c>
      <c r="J293" s="17"/>
      <c r="K293" s="17">
        <v>661.38</v>
      </c>
      <c r="L293" s="17"/>
      <c r="M293" s="22">
        <v>4545.25</v>
      </c>
      <c r="N293" s="17"/>
      <c r="O293" s="22">
        <v>661.38</v>
      </c>
      <c r="P293" s="19">
        <f t="shared" si="46"/>
        <v>282.84</v>
      </c>
    </row>
    <row r="294" ht="12" customHeight="1" spans="1:16">
      <c r="A294" s="14">
        <v>143</v>
      </c>
      <c r="B294" s="15" t="s">
        <v>158</v>
      </c>
      <c r="C294" s="18"/>
      <c r="D294" s="16">
        <v>187.04</v>
      </c>
      <c r="E294" s="17"/>
      <c r="F294" s="17">
        <v>26.92</v>
      </c>
      <c r="G294" s="17"/>
      <c r="H294" s="16">
        <v>177.18</v>
      </c>
      <c r="I294" s="17"/>
      <c r="J294" s="17">
        <v>26.92</v>
      </c>
      <c r="K294" s="17"/>
      <c r="L294" s="17">
        <v>164.72</v>
      </c>
      <c r="M294" s="22"/>
      <c r="N294" s="17">
        <v>26.92</v>
      </c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5028</v>
      </c>
      <c r="F295" s="17"/>
      <c r="G295" s="17">
        <v>658.25</v>
      </c>
      <c r="H295" s="16"/>
      <c r="I295" s="17">
        <v>4786.21</v>
      </c>
      <c r="J295" s="17"/>
      <c r="K295" s="17">
        <v>658.25</v>
      </c>
      <c r="L295" s="17"/>
      <c r="M295" s="22">
        <v>4468.13</v>
      </c>
      <c r="N295" s="17"/>
      <c r="O295" s="22">
        <v>658.25</v>
      </c>
      <c r="P295" s="19">
        <f t="shared" ref="P295:P299" si="47">I295+K295-M295-O295</f>
        <v>318.08</v>
      </c>
    </row>
    <row r="296" ht="12" customHeight="1" spans="1:16">
      <c r="A296" s="14">
        <v>144</v>
      </c>
      <c r="B296" s="15" t="s">
        <v>159</v>
      </c>
      <c r="C296" s="18"/>
      <c r="D296" s="16">
        <v>215.2</v>
      </c>
      <c r="E296" s="17"/>
      <c r="F296" s="17">
        <v>25.74</v>
      </c>
      <c r="G296" s="17"/>
      <c r="H296" s="16">
        <v>205.72</v>
      </c>
      <c r="I296" s="17"/>
      <c r="J296" s="17">
        <v>25.74</v>
      </c>
      <c r="K296" s="17"/>
      <c r="L296" s="17">
        <v>192.73</v>
      </c>
      <c r="M296" s="22"/>
      <c r="N296" s="17">
        <v>25.74</v>
      </c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5394.5</v>
      </c>
      <c r="F297" s="17"/>
      <c r="G297" s="17">
        <v>712.38</v>
      </c>
      <c r="H297" s="16"/>
      <c r="I297" s="17">
        <v>5234.38</v>
      </c>
      <c r="J297" s="17"/>
      <c r="K297" s="17">
        <v>712.38</v>
      </c>
      <c r="L297" s="17"/>
      <c r="M297" s="22">
        <v>4969.63</v>
      </c>
      <c r="N297" s="17"/>
      <c r="O297" s="22">
        <v>712.38</v>
      </c>
      <c r="P297" s="19">
        <f t="shared" si="47"/>
        <v>264.75</v>
      </c>
    </row>
    <row r="298" ht="12" customHeight="1" spans="1:16">
      <c r="A298" s="14">
        <v>145</v>
      </c>
      <c r="B298" s="15" t="s">
        <v>160</v>
      </c>
      <c r="C298" s="18"/>
      <c r="D298" s="16">
        <v>216.36</v>
      </c>
      <c r="E298" s="17"/>
      <c r="F298" s="17">
        <v>31.25</v>
      </c>
      <c r="G298" s="17"/>
      <c r="H298" s="16">
        <v>213.03</v>
      </c>
      <c r="I298" s="17"/>
      <c r="J298" s="17">
        <v>31.25</v>
      </c>
      <c r="K298" s="17"/>
      <c r="L298" s="17">
        <v>204.84</v>
      </c>
      <c r="M298" s="22"/>
      <c r="N298" s="17">
        <v>31.25</v>
      </c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5871.13</v>
      </c>
      <c r="F299" s="17"/>
      <c r="G299" s="17">
        <v>842.63</v>
      </c>
      <c r="H299" s="16"/>
      <c r="I299" s="17">
        <v>5760.99</v>
      </c>
      <c r="J299" s="17"/>
      <c r="K299" s="17">
        <v>842.63</v>
      </c>
      <c r="L299" s="17"/>
      <c r="M299" s="22">
        <v>5649.25</v>
      </c>
      <c r="N299" s="17"/>
      <c r="O299" s="22">
        <v>842.63</v>
      </c>
      <c r="P299" s="19">
        <f t="shared" si="47"/>
        <v>111.74</v>
      </c>
    </row>
    <row r="300" ht="12" customHeight="1" spans="1:16">
      <c r="A300" s="14">
        <v>146</v>
      </c>
      <c r="B300" s="15" t="s">
        <v>161</v>
      </c>
      <c r="C300" s="18"/>
      <c r="D300" s="16">
        <v>253.33</v>
      </c>
      <c r="E300" s="17"/>
      <c r="F300" s="17">
        <v>36.16</v>
      </c>
      <c r="G300" s="17"/>
      <c r="H300" s="16">
        <v>247.85</v>
      </c>
      <c r="I300" s="17"/>
      <c r="J300" s="17">
        <v>36.16</v>
      </c>
      <c r="K300" s="17"/>
      <c r="L300" s="17">
        <v>247.1</v>
      </c>
      <c r="M300" s="22"/>
      <c r="N300" s="17">
        <v>36.16</v>
      </c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7252.5</v>
      </c>
      <c r="F301" s="17"/>
      <c r="G301" s="17">
        <v>975.63</v>
      </c>
      <c r="H301" s="16"/>
      <c r="I301" s="17">
        <v>7048.57</v>
      </c>
      <c r="J301" s="17"/>
      <c r="K301" s="17">
        <v>975.63</v>
      </c>
      <c r="L301" s="17"/>
      <c r="M301" s="22">
        <v>6910.13</v>
      </c>
      <c r="N301" s="17"/>
      <c r="O301" s="22">
        <v>975.63</v>
      </c>
      <c r="P301" s="19">
        <f t="shared" ref="P301:P305" si="48">I301+K301-M301-O301</f>
        <v>138.44</v>
      </c>
    </row>
    <row r="302" ht="12" customHeight="1" spans="1:16">
      <c r="A302" s="14">
        <v>147</v>
      </c>
      <c r="B302" s="15" t="s">
        <v>162</v>
      </c>
      <c r="C302" s="18"/>
      <c r="D302" s="16">
        <v>326.87</v>
      </c>
      <c r="E302" s="17"/>
      <c r="F302" s="17">
        <v>41.89</v>
      </c>
      <c r="G302" s="17"/>
      <c r="H302" s="16">
        <v>316.04</v>
      </c>
      <c r="I302" s="17"/>
      <c r="J302" s="17">
        <v>41.89</v>
      </c>
      <c r="K302" s="17"/>
      <c r="L302" s="17">
        <v>305.71</v>
      </c>
      <c r="M302" s="22"/>
      <c r="N302" s="17">
        <v>41.89</v>
      </c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10822.88</v>
      </c>
      <c r="F303" s="17"/>
      <c r="G303" s="17">
        <v>1329.63</v>
      </c>
      <c r="H303" s="16"/>
      <c r="I303" s="17">
        <v>10486.15</v>
      </c>
      <c r="J303" s="17"/>
      <c r="K303" s="17">
        <v>1329.63</v>
      </c>
      <c r="L303" s="17"/>
      <c r="M303" s="22">
        <v>10162</v>
      </c>
      <c r="N303" s="17"/>
      <c r="O303" s="22">
        <v>1329.63</v>
      </c>
      <c r="P303" s="19">
        <f t="shared" si="48"/>
        <v>324.149999999999</v>
      </c>
    </row>
    <row r="304" ht="12" customHeight="1" spans="1:16">
      <c r="A304" s="14">
        <v>148</v>
      </c>
      <c r="B304" s="15" t="s">
        <v>163</v>
      </c>
      <c r="C304" s="18"/>
      <c r="D304" s="16">
        <v>538.96</v>
      </c>
      <c r="E304" s="17"/>
      <c r="F304" s="17">
        <v>64.48</v>
      </c>
      <c r="G304" s="17"/>
      <c r="H304" s="16">
        <v>522.85</v>
      </c>
      <c r="I304" s="17"/>
      <c r="J304" s="17">
        <v>64.48</v>
      </c>
      <c r="K304" s="17"/>
      <c r="L304" s="17">
        <v>507.25</v>
      </c>
      <c r="M304" s="22"/>
      <c r="N304" s="17">
        <v>64.48</v>
      </c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13514.38</v>
      </c>
      <c r="F305" s="17"/>
      <c r="G305" s="17">
        <v>1660.5</v>
      </c>
      <c r="H305" s="16"/>
      <c r="I305" s="17">
        <v>13043.91</v>
      </c>
      <c r="J305" s="17"/>
      <c r="K305" s="17">
        <v>1660.5</v>
      </c>
      <c r="L305" s="17"/>
      <c r="M305" s="22">
        <v>12642.88</v>
      </c>
      <c r="N305" s="17"/>
      <c r="O305" s="22">
        <v>1660.5</v>
      </c>
      <c r="P305" s="19">
        <f t="shared" si="48"/>
        <v>401.030000000001</v>
      </c>
    </row>
    <row r="306" ht="12" customHeight="1" spans="1:16">
      <c r="A306" s="14">
        <v>149</v>
      </c>
      <c r="B306" s="15" t="s">
        <v>164</v>
      </c>
      <c r="C306" s="18"/>
      <c r="D306" s="16">
        <v>542.19</v>
      </c>
      <c r="E306" s="17"/>
      <c r="F306" s="17">
        <v>68.36</v>
      </c>
      <c r="G306" s="17"/>
      <c r="H306" s="16">
        <v>520.66</v>
      </c>
      <c r="I306" s="17"/>
      <c r="J306" s="17">
        <v>68.36</v>
      </c>
      <c r="K306" s="17"/>
      <c r="L306" s="17">
        <v>504.18</v>
      </c>
      <c r="M306" s="22"/>
      <c r="N306" s="17">
        <v>68.36</v>
      </c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13703.38</v>
      </c>
      <c r="F307" s="17"/>
      <c r="G307" s="17">
        <v>1715.5</v>
      </c>
      <c r="H307" s="16"/>
      <c r="I307" s="17">
        <v>13210.33</v>
      </c>
      <c r="J307" s="17"/>
      <c r="K307" s="17">
        <v>1715.5</v>
      </c>
      <c r="L307" s="17"/>
      <c r="M307" s="22">
        <v>12779.38</v>
      </c>
      <c r="N307" s="17"/>
      <c r="O307" s="22">
        <v>1715.5</v>
      </c>
      <c r="P307" s="19">
        <f t="shared" ref="P307:P311" si="49">I307+K307-M307-O307</f>
        <v>430.950000000001</v>
      </c>
    </row>
    <row r="308" ht="12" customHeight="1" spans="1:16">
      <c r="A308" s="14">
        <v>150</v>
      </c>
      <c r="B308" s="15" t="s">
        <v>165</v>
      </c>
      <c r="C308" s="18"/>
      <c r="D308" s="16">
        <v>554.08</v>
      </c>
      <c r="E308" s="17"/>
      <c r="F308" s="17">
        <v>68.88</v>
      </c>
      <c r="G308" s="17"/>
      <c r="H308" s="16">
        <v>536.17</v>
      </c>
      <c r="I308" s="17"/>
      <c r="J308" s="17">
        <v>68.88</v>
      </c>
      <c r="K308" s="17"/>
      <c r="L308" s="17">
        <v>518.17</v>
      </c>
      <c r="M308" s="22"/>
      <c r="N308" s="17">
        <v>68.88</v>
      </c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14190.13</v>
      </c>
      <c r="F309" s="17"/>
      <c r="G309" s="17">
        <v>1731.38</v>
      </c>
      <c r="H309" s="16"/>
      <c r="I309" s="17">
        <v>13845.1</v>
      </c>
      <c r="J309" s="17"/>
      <c r="K309" s="17">
        <v>1731.38</v>
      </c>
      <c r="L309" s="17"/>
      <c r="M309" s="22">
        <v>13364</v>
      </c>
      <c r="N309" s="17"/>
      <c r="O309" s="22">
        <v>1731.38</v>
      </c>
      <c r="P309" s="19">
        <f t="shared" si="49"/>
        <v>481.099999999999</v>
      </c>
    </row>
    <row r="310" ht="12" customHeight="1" spans="1:16">
      <c r="A310" s="14">
        <v>151</v>
      </c>
      <c r="B310" s="15" t="s">
        <v>166</v>
      </c>
      <c r="C310" s="18"/>
      <c r="D310" s="16">
        <v>581.13</v>
      </c>
      <c r="E310" s="17"/>
      <c r="F310" s="17">
        <v>69.63</v>
      </c>
      <c r="G310" s="17"/>
      <c r="H310" s="16">
        <v>571.44</v>
      </c>
      <c r="I310" s="17"/>
      <c r="J310" s="17">
        <v>69.63</v>
      </c>
      <c r="K310" s="17"/>
      <c r="L310" s="17">
        <v>550.95</v>
      </c>
      <c r="M310" s="22"/>
      <c r="N310" s="17">
        <v>69.63</v>
      </c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13996</v>
      </c>
      <c r="F311" s="17"/>
      <c r="G311" s="17">
        <v>1753.63</v>
      </c>
      <c r="H311" s="16"/>
      <c r="I311" s="17">
        <v>13874.89</v>
      </c>
      <c r="J311" s="17"/>
      <c r="K311" s="17">
        <v>1753.63</v>
      </c>
      <c r="L311" s="17"/>
      <c r="M311" s="22">
        <v>13369.88</v>
      </c>
      <c r="N311" s="17"/>
      <c r="O311" s="22">
        <v>1753.63</v>
      </c>
      <c r="P311" s="19">
        <f t="shared" si="49"/>
        <v>505.010000000001</v>
      </c>
    </row>
    <row r="312" ht="12" customHeight="1" spans="1:16">
      <c r="A312" s="14">
        <v>152</v>
      </c>
      <c r="B312" s="15" t="s">
        <v>167</v>
      </c>
      <c r="C312" s="18"/>
      <c r="D312" s="16">
        <v>538.55</v>
      </c>
      <c r="E312" s="17"/>
      <c r="F312" s="17">
        <v>70.66</v>
      </c>
      <c r="G312" s="17"/>
      <c r="H312" s="16">
        <v>538.55</v>
      </c>
      <c r="I312" s="17"/>
      <c r="J312" s="17">
        <v>70.66</v>
      </c>
      <c r="K312" s="17"/>
      <c r="L312" s="17">
        <v>518.64</v>
      </c>
      <c r="M312" s="22"/>
      <c r="N312" s="17">
        <v>70.66</v>
      </c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13583.5</v>
      </c>
      <c r="F313" s="17"/>
      <c r="G313" s="17">
        <v>1745.13</v>
      </c>
      <c r="H313" s="16"/>
      <c r="I313" s="17">
        <v>13583.5</v>
      </c>
      <c r="J313" s="17"/>
      <c r="K313" s="17">
        <v>1745.13</v>
      </c>
      <c r="L313" s="17"/>
      <c r="M313" s="22">
        <v>13087.63</v>
      </c>
      <c r="N313" s="17"/>
      <c r="O313" s="22">
        <v>1745.13</v>
      </c>
      <c r="P313" s="19">
        <f t="shared" ref="P313:P317" si="50">I313+K313-M313-O313</f>
        <v>495.870000000002</v>
      </c>
    </row>
    <row r="314" ht="12" customHeight="1" spans="1:16">
      <c r="A314" s="14">
        <v>153</v>
      </c>
      <c r="B314" s="15" t="s">
        <v>168</v>
      </c>
      <c r="C314" s="18"/>
      <c r="D314" s="16">
        <v>548.13</v>
      </c>
      <c r="E314" s="17"/>
      <c r="F314" s="17">
        <v>68.95</v>
      </c>
      <c r="G314" s="17"/>
      <c r="H314" s="16">
        <v>548.13</v>
      </c>
      <c r="I314" s="17"/>
      <c r="J314" s="17">
        <v>68.95</v>
      </c>
      <c r="K314" s="17"/>
      <c r="L314" s="17">
        <v>528.37</v>
      </c>
      <c r="M314" s="22"/>
      <c r="N314" s="17">
        <v>68.95</v>
      </c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13731.13</v>
      </c>
      <c r="F315" s="17"/>
      <c r="G315" s="17">
        <v>1705.38</v>
      </c>
      <c r="H315" s="16"/>
      <c r="I315" s="17">
        <v>13594.55</v>
      </c>
      <c r="J315" s="17"/>
      <c r="K315" s="17">
        <v>1705.38</v>
      </c>
      <c r="L315" s="17"/>
      <c r="M315" s="22">
        <v>13130.13</v>
      </c>
      <c r="N315" s="17"/>
      <c r="O315" s="22">
        <v>1705.38</v>
      </c>
      <c r="P315" s="19">
        <f t="shared" si="50"/>
        <v>464.420000000001</v>
      </c>
    </row>
    <row r="316" ht="12" customHeight="1" spans="1:16">
      <c r="A316" s="14">
        <v>154</v>
      </c>
      <c r="B316" s="15" t="s">
        <v>169</v>
      </c>
      <c r="C316" s="18"/>
      <c r="D316" s="16">
        <v>550.36</v>
      </c>
      <c r="E316" s="17"/>
      <c r="F316" s="17">
        <v>67.48</v>
      </c>
      <c r="G316" s="17"/>
      <c r="H316" s="16">
        <v>539.43</v>
      </c>
      <c r="I316" s="17"/>
      <c r="J316" s="17">
        <v>67.48</v>
      </c>
      <c r="K316" s="17"/>
      <c r="L316" s="17">
        <v>522.04</v>
      </c>
      <c r="M316" s="22"/>
      <c r="N316" s="17">
        <v>67.48</v>
      </c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13258.25</v>
      </c>
      <c r="F317" s="17"/>
      <c r="G317" s="17">
        <v>1703.38</v>
      </c>
      <c r="H317" s="16"/>
      <c r="I317" s="17">
        <v>13019.44</v>
      </c>
      <c r="J317" s="17"/>
      <c r="K317" s="17">
        <v>1703.38</v>
      </c>
      <c r="L317" s="17"/>
      <c r="M317" s="22">
        <v>12555</v>
      </c>
      <c r="N317" s="17"/>
      <c r="O317" s="22">
        <v>1703.38</v>
      </c>
      <c r="P317" s="19">
        <f t="shared" si="50"/>
        <v>464.44</v>
      </c>
    </row>
    <row r="318" ht="12" customHeight="1" spans="1:16">
      <c r="A318" s="14">
        <v>155</v>
      </c>
      <c r="B318" s="15" t="s">
        <v>170</v>
      </c>
      <c r="C318" s="18"/>
      <c r="D318" s="16">
        <v>510.3</v>
      </c>
      <c r="E318" s="17"/>
      <c r="F318" s="17">
        <v>68.79</v>
      </c>
      <c r="G318" s="17"/>
      <c r="H318" s="16">
        <v>502.12</v>
      </c>
      <c r="I318" s="17"/>
      <c r="J318" s="17">
        <v>68.79</v>
      </c>
      <c r="K318" s="17"/>
      <c r="L318" s="17">
        <v>482.36</v>
      </c>
      <c r="M318" s="22"/>
      <c r="N318" s="17">
        <v>68.79</v>
      </c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14036.88</v>
      </c>
      <c r="F319" s="17"/>
      <c r="G319" s="17">
        <v>1828</v>
      </c>
      <c r="H319" s="16"/>
      <c r="I319" s="17">
        <v>13774.32</v>
      </c>
      <c r="J319" s="17"/>
      <c r="K319" s="17">
        <v>1828</v>
      </c>
      <c r="L319" s="17"/>
      <c r="M319" s="22">
        <v>13032.5</v>
      </c>
      <c r="N319" s="17"/>
      <c r="O319" s="22">
        <v>1828</v>
      </c>
      <c r="P319" s="19">
        <f t="shared" ref="P319:P323" si="51">I319+K319-M319-O319</f>
        <v>741.82</v>
      </c>
    </row>
    <row r="320" ht="12" customHeight="1" spans="1:16">
      <c r="A320" s="14">
        <v>156</v>
      </c>
      <c r="B320" s="15" t="s">
        <v>171</v>
      </c>
      <c r="C320" s="18"/>
      <c r="D320" s="16">
        <v>612.65</v>
      </c>
      <c r="E320" s="17"/>
      <c r="F320" s="17">
        <v>77.45</v>
      </c>
      <c r="G320" s="17"/>
      <c r="H320" s="16">
        <v>599.82</v>
      </c>
      <c r="I320" s="17"/>
      <c r="J320" s="17">
        <v>77.45</v>
      </c>
      <c r="K320" s="17"/>
      <c r="L320" s="17">
        <v>560.24</v>
      </c>
      <c r="M320" s="22"/>
      <c r="N320" s="17">
        <v>77.45</v>
      </c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13028.5</v>
      </c>
      <c r="F321" s="17"/>
      <c r="G321" s="17">
        <v>1732.75</v>
      </c>
      <c r="H321" s="16"/>
      <c r="I321" s="17">
        <v>12740.3</v>
      </c>
      <c r="J321" s="17"/>
      <c r="K321" s="17">
        <v>1732.75</v>
      </c>
      <c r="L321" s="17"/>
      <c r="M321" s="22">
        <v>11839.88</v>
      </c>
      <c r="N321" s="17"/>
      <c r="O321" s="22">
        <v>1732.75</v>
      </c>
      <c r="P321" s="19">
        <f t="shared" si="51"/>
        <v>900.42</v>
      </c>
    </row>
    <row r="322" ht="12" customHeight="1" spans="1:16">
      <c r="A322" s="14">
        <v>157</v>
      </c>
      <c r="B322" s="15" t="s">
        <v>172</v>
      </c>
      <c r="C322" s="18"/>
      <c r="D322" s="16">
        <v>429.63</v>
      </c>
      <c r="E322" s="17"/>
      <c r="F322" s="17">
        <v>61.17</v>
      </c>
      <c r="G322" s="17"/>
      <c r="H322" s="16">
        <v>419.4</v>
      </c>
      <c r="I322" s="17"/>
      <c r="J322" s="17">
        <v>61.17</v>
      </c>
      <c r="K322" s="17"/>
      <c r="L322" s="17">
        <v>386.95</v>
      </c>
      <c r="M322" s="22"/>
      <c r="N322" s="17">
        <v>61.17</v>
      </c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12563.63</v>
      </c>
      <c r="F323" s="17"/>
      <c r="G323" s="17">
        <v>1763.88</v>
      </c>
      <c r="H323" s="16"/>
      <c r="I323" s="17">
        <v>12435.75</v>
      </c>
      <c r="J323" s="17"/>
      <c r="K323" s="17">
        <v>1763.88</v>
      </c>
      <c r="L323" s="17"/>
      <c r="M323" s="22">
        <v>11687</v>
      </c>
      <c r="N323" s="17"/>
      <c r="O323" s="22">
        <v>1763.88</v>
      </c>
      <c r="P323" s="19">
        <f t="shared" si="51"/>
        <v>748.750000000001</v>
      </c>
    </row>
    <row r="324" ht="12" customHeight="1" spans="1:16">
      <c r="A324" s="14">
        <v>158</v>
      </c>
      <c r="B324" s="15" t="s">
        <v>173</v>
      </c>
      <c r="C324" s="18"/>
      <c r="D324" s="16">
        <v>575.46</v>
      </c>
      <c r="E324" s="17"/>
      <c r="F324" s="17">
        <v>79.94</v>
      </c>
      <c r="G324" s="17"/>
      <c r="H324" s="16">
        <v>575.46</v>
      </c>
      <c r="I324" s="17"/>
      <c r="J324" s="17">
        <v>79.94</v>
      </c>
      <c r="K324" s="17"/>
      <c r="L324" s="17">
        <v>548.01</v>
      </c>
      <c r="M324" s="22"/>
      <c r="N324" s="17">
        <v>79.94</v>
      </c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13571.63</v>
      </c>
      <c r="F325" s="17"/>
      <c r="G325" s="17">
        <v>1928.88</v>
      </c>
      <c r="H325" s="16"/>
      <c r="I325" s="17">
        <v>13571.63</v>
      </c>
      <c r="J325" s="17"/>
      <c r="K325" s="17">
        <v>1928.88</v>
      </c>
      <c r="L325" s="17"/>
      <c r="M325" s="22">
        <v>12823.75</v>
      </c>
      <c r="N325" s="17"/>
      <c r="O325" s="22">
        <v>1928.88</v>
      </c>
      <c r="P325" s="19">
        <f t="shared" ref="P325:P329" si="52">I325+K325-M325-O325</f>
        <v>747.879999999998</v>
      </c>
    </row>
    <row r="326" ht="12" customHeight="1" spans="1:16">
      <c r="A326" s="14">
        <v>159</v>
      </c>
      <c r="B326" s="15" t="s">
        <v>174</v>
      </c>
      <c r="C326" s="18"/>
      <c r="D326" s="16">
        <v>510.27</v>
      </c>
      <c r="E326" s="17"/>
      <c r="F326" s="17">
        <v>74.37</v>
      </c>
      <c r="G326" s="17"/>
      <c r="H326" s="16">
        <v>510.27</v>
      </c>
      <c r="I326" s="17"/>
      <c r="J326" s="17">
        <v>74.37</v>
      </c>
      <c r="K326" s="17"/>
      <c r="L326" s="17">
        <v>477.89</v>
      </c>
      <c r="M326" s="22"/>
      <c r="N326" s="17">
        <v>74.37</v>
      </c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12262.5</v>
      </c>
      <c r="F327" s="17"/>
      <c r="G327" s="17">
        <v>1835.63</v>
      </c>
      <c r="H327" s="16"/>
      <c r="I327" s="17">
        <v>12262.5</v>
      </c>
      <c r="J327" s="17"/>
      <c r="K327" s="17">
        <v>1835.63</v>
      </c>
      <c r="L327" s="17"/>
      <c r="M327" s="22">
        <v>11331</v>
      </c>
      <c r="N327" s="17"/>
      <c r="O327" s="22">
        <v>1835.63</v>
      </c>
      <c r="P327" s="19">
        <f t="shared" si="52"/>
        <v>931.500000000001</v>
      </c>
    </row>
    <row r="328" ht="12" customHeight="1" spans="1:16">
      <c r="A328" s="14">
        <v>160</v>
      </c>
      <c r="B328" s="15" t="s">
        <v>175</v>
      </c>
      <c r="C328" s="18"/>
      <c r="D328" s="16">
        <v>470.73</v>
      </c>
      <c r="E328" s="17"/>
      <c r="F328" s="17">
        <v>72.48</v>
      </c>
      <c r="G328" s="17"/>
      <c r="H328" s="16">
        <v>470.73</v>
      </c>
      <c r="I328" s="17"/>
      <c r="J328" s="17">
        <v>72.48</v>
      </c>
      <c r="K328" s="17"/>
      <c r="L328" s="17">
        <v>428.59</v>
      </c>
      <c r="M328" s="22"/>
      <c r="N328" s="17">
        <v>72.48</v>
      </c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11244.75</v>
      </c>
      <c r="F329" s="17"/>
      <c r="G329" s="17">
        <v>1747.25</v>
      </c>
      <c r="H329" s="16"/>
      <c r="I329" s="17">
        <v>10915.86</v>
      </c>
      <c r="J329" s="17"/>
      <c r="K329" s="17">
        <v>1747.25</v>
      </c>
      <c r="L329" s="17"/>
      <c r="M329" s="22">
        <v>10068.63</v>
      </c>
      <c r="N329" s="17"/>
      <c r="O329" s="22">
        <v>1747.25</v>
      </c>
      <c r="P329" s="19">
        <f t="shared" si="52"/>
        <v>847.230000000001</v>
      </c>
    </row>
    <row r="330" ht="12" customHeight="1" spans="1:16">
      <c r="A330" s="14">
        <v>161</v>
      </c>
      <c r="B330" s="15" t="s">
        <v>176</v>
      </c>
      <c r="C330" s="18"/>
      <c r="D330" s="16">
        <v>428.85</v>
      </c>
      <c r="E330" s="17"/>
      <c r="F330" s="17">
        <v>67.3</v>
      </c>
      <c r="G330" s="17"/>
      <c r="H330" s="16">
        <v>402.54</v>
      </c>
      <c r="I330" s="17"/>
      <c r="J330" s="17">
        <v>67.3</v>
      </c>
      <c r="K330" s="17"/>
      <c r="L330" s="17">
        <v>376.9</v>
      </c>
      <c r="M330" s="22"/>
      <c r="N330" s="17">
        <v>67.3</v>
      </c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11209.13</v>
      </c>
      <c r="F331" s="17"/>
      <c r="G331" s="17">
        <v>1738.25</v>
      </c>
      <c r="H331" s="16"/>
      <c r="I331" s="17">
        <v>10583.71</v>
      </c>
      <c r="J331" s="17"/>
      <c r="K331" s="17">
        <v>1738.25</v>
      </c>
      <c r="L331" s="17"/>
      <c r="M331" s="22">
        <v>9953.75</v>
      </c>
      <c r="N331" s="17"/>
      <c r="O331" s="22">
        <v>1738.25</v>
      </c>
      <c r="P331" s="19">
        <f t="shared" ref="P331:P335" si="53">I331+K331-M331-O331</f>
        <v>629.959999999999</v>
      </c>
    </row>
    <row r="332" ht="12" customHeight="1" spans="1:16">
      <c r="A332" s="14">
        <v>162</v>
      </c>
      <c r="B332" s="15" t="s">
        <v>177</v>
      </c>
      <c r="C332" s="18"/>
      <c r="D332" s="16">
        <v>467.88</v>
      </c>
      <c r="E332" s="17"/>
      <c r="F332" s="17">
        <v>71.76</v>
      </c>
      <c r="G332" s="17"/>
      <c r="H332" s="16">
        <v>444.16</v>
      </c>
      <c r="I332" s="17"/>
      <c r="J332" s="17">
        <v>71.76</v>
      </c>
      <c r="K332" s="17"/>
      <c r="L332" s="17">
        <v>419.4</v>
      </c>
      <c r="M332" s="22"/>
      <c r="N332" s="17">
        <v>71.76</v>
      </c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11448.25</v>
      </c>
      <c r="F333" s="17"/>
      <c r="G333" s="17">
        <v>1804.38</v>
      </c>
      <c r="H333" s="16"/>
      <c r="I333" s="17">
        <v>10991.96</v>
      </c>
      <c r="J333" s="17"/>
      <c r="K333" s="17">
        <v>1804.38</v>
      </c>
      <c r="L333" s="17"/>
      <c r="M333" s="22">
        <v>10502.88</v>
      </c>
      <c r="N333" s="17"/>
      <c r="O333" s="22">
        <v>1804.38</v>
      </c>
      <c r="P333" s="19">
        <f t="shared" si="53"/>
        <v>489.080000000001</v>
      </c>
    </row>
    <row r="334" ht="12" customHeight="1" spans="1:16">
      <c r="A334" s="14">
        <v>163</v>
      </c>
      <c r="B334" s="15" t="s">
        <v>178</v>
      </c>
      <c r="C334" s="18"/>
      <c r="D334" s="16">
        <v>447.98</v>
      </c>
      <c r="E334" s="17"/>
      <c r="F334" s="17">
        <v>72.59</v>
      </c>
      <c r="G334" s="17"/>
      <c r="H334" s="16">
        <v>435.2</v>
      </c>
      <c r="I334" s="17"/>
      <c r="J334" s="17">
        <v>72.59</v>
      </c>
      <c r="K334" s="17"/>
      <c r="L334" s="17">
        <v>420.83</v>
      </c>
      <c r="M334" s="22"/>
      <c r="N334" s="17">
        <v>72.59</v>
      </c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11814.38</v>
      </c>
      <c r="F335" s="17"/>
      <c r="G335" s="17">
        <v>1845.5</v>
      </c>
      <c r="H335" s="16"/>
      <c r="I335" s="17">
        <v>11479.55</v>
      </c>
      <c r="J335" s="17"/>
      <c r="K335" s="17">
        <v>1845.5</v>
      </c>
      <c r="L335" s="17"/>
      <c r="M335" s="22">
        <v>11074.25</v>
      </c>
      <c r="N335" s="17"/>
      <c r="O335" s="22">
        <v>1845.5</v>
      </c>
      <c r="P335" s="19">
        <f t="shared" si="53"/>
        <v>405.299999999999</v>
      </c>
    </row>
    <row r="336" ht="12" customHeight="1" spans="1:16">
      <c r="A336" s="14">
        <v>164</v>
      </c>
      <c r="B336" s="15" t="s">
        <v>179</v>
      </c>
      <c r="C336" s="18"/>
      <c r="D336" s="16">
        <v>497.17</v>
      </c>
      <c r="E336" s="17"/>
      <c r="F336" s="17">
        <v>75.05</v>
      </c>
      <c r="G336" s="17"/>
      <c r="H336" s="16">
        <v>483.16</v>
      </c>
      <c r="I336" s="17"/>
      <c r="J336" s="17">
        <v>75.05</v>
      </c>
      <c r="K336" s="17"/>
      <c r="L336" s="17">
        <v>465.11</v>
      </c>
      <c r="M336" s="22"/>
      <c r="N336" s="17">
        <v>75.05</v>
      </c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8394.25</v>
      </c>
      <c r="F337" s="17"/>
      <c r="G337" s="17">
        <v>1409.88</v>
      </c>
      <c r="H337" s="16"/>
      <c r="I337" s="17">
        <v>8219.18</v>
      </c>
      <c r="J337" s="17"/>
      <c r="K337" s="17">
        <v>1409.88</v>
      </c>
      <c r="L337" s="17"/>
      <c r="M337" s="22">
        <v>7993.5</v>
      </c>
      <c r="N337" s="17"/>
      <c r="O337" s="22">
        <v>1409.88</v>
      </c>
      <c r="P337" s="19">
        <f t="shared" ref="P337:P341" si="54">I337+K337-M337-O337</f>
        <v>225.680000000001</v>
      </c>
    </row>
    <row r="338" ht="12" customHeight="1" spans="1:16">
      <c r="A338" s="14">
        <v>165</v>
      </c>
      <c r="B338" s="15" t="s">
        <v>180</v>
      </c>
      <c r="C338" s="18"/>
      <c r="D338" s="16">
        <v>174.37</v>
      </c>
      <c r="E338" s="17"/>
      <c r="F338" s="17">
        <v>37.74</v>
      </c>
      <c r="G338" s="17"/>
      <c r="H338" s="16">
        <v>174.37</v>
      </c>
      <c r="I338" s="17"/>
      <c r="J338" s="17">
        <v>37.74</v>
      </c>
      <c r="K338" s="17"/>
      <c r="L338" s="17">
        <v>174.37</v>
      </c>
      <c r="M338" s="22"/>
      <c r="N338" s="17">
        <v>37.74</v>
      </c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3205.13</v>
      </c>
      <c r="F339" s="17"/>
      <c r="G339" s="17">
        <v>707</v>
      </c>
      <c r="H339" s="16"/>
      <c r="I339" s="17">
        <v>3205.13</v>
      </c>
      <c r="J339" s="17"/>
      <c r="K339" s="17">
        <v>707</v>
      </c>
      <c r="L339" s="17"/>
      <c r="M339" s="22">
        <v>3205.13</v>
      </c>
      <c r="N339" s="17"/>
      <c r="O339" s="22">
        <v>707</v>
      </c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82.04</v>
      </c>
      <c r="E340" s="17"/>
      <c r="F340" s="17">
        <v>18.82</v>
      </c>
      <c r="G340" s="17"/>
      <c r="H340" s="16">
        <v>82.04</v>
      </c>
      <c r="I340" s="17"/>
      <c r="J340" s="17">
        <v>18.82</v>
      </c>
      <c r="K340" s="17"/>
      <c r="L340" s="17">
        <v>82.04</v>
      </c>
      <c r="M340" s="22"/>
      <c r="N340" s="17">
        <v>18.82</v>
      </c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1025.5</v>
      </c>
      <c r="F341" s="17"/>
      <c r="G341" s="17">
        <v>235.25</v>
      </c>
      <c r="H341" s="16"/>
      <c r="I341" s="17">
        <v>1025.5</v>
      </c>
      <c r="J341" s="17"/>
      <c r="K341" s="17">
        <v>235.25</v>
      </c>
      <c r="L341" s="17"/>
      <c r="M341" s="22">
        <v>1025.5</v>
      </c>
      <c r="N341" s="17"/>
      <c r="O341" s="22">
        <v>235.25</v>
      </c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>
        <v>0</v>
      </c>
      <c r="I342" s="17"/>
      <c r="J342" s="17">
        <v>0</v>
      </c>
      <c r="K342" s="17"/>
      <c r="L342" s="17">
        <v>0</v>
      </c>
      <c r="M342" s="22"/>
      <c r="N342" s="17">
        <v>0</v>
      </c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>
        <v>0</v>
      </c>
      <c r="J343" s="17"/>
      <c r="K343" s="17">
        <v>0</v>
      </c>
      <c r="L343" s="17"/>
      <c r="M343" s="22">
        <v>0</v>
      </c>
      <c r="N343" s="17"/>
      <c r="O343" s="22">
        <v>0</v>
      </c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>
        <v>0</v>
      </c>
      <c r="I344" s="17"/>
      <c r="J344" s="17">
        <v>0</v>
      </c>
      <c r="K344" s="17"/>
      <c r="L344" s="17">
        <v>0</v>
      </c>
      <c r="M344" s="22"/>
      <c r="N344" s="17">
        <v>0</v>
      </c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>
        <v>0</v>
      </c>
      <c r="J345" s="17"/>
      <c r="K345" s="17">
        <v>0</v>
      </c>
      <c r="L345" s="17"/>
      <c r="M345" s="22">
        <v>0</v>
      </c>
      <c r="N345" s="17"/>
      <c r="O345" s="22">
        <v>0</v>
      </c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>
        <v>0</v>
      </c>
      <c r="I346" s="17"/>
      <c r="J346" s="17">
        <v>0</v>
      </c>
      <c r="K346" s="17"/>
      <c r="L346" s="17">
        <v>0</v>
      </c>
      <c r="M346" s="22"/>
      <c r="N346" s="17">
        <v>0</v>
      </c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>
        <v>0</v>
      </c>
      <c r="J347" s="17"/>
      <c r="K347" s="17">
        <v>0</v>
      </c>
      <c r="L347" s="17"/>
      <c r="M347" s="22">
        <v>0</v>
      </c>
      <c r="N347" s="17"/>
      <c r="O347" s="22">
        <v>0</v>
      </c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>
        <v>0</v>
      </c>
      <c r="I348" s="17"/>
      <c r="J348" s="17">
        <v>0</v>
      </c>
      <c r="K348" s="17"/>
      <c r="L348" s="17">
        <v>0</v>
      </c>
      <c r="M348" s="22"/>
      <c r="N348" s="17">
        <v>0</v>
      </c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>
        <v>0</v>
      </c>
      <c r="J349" s="17"/>
      <c r="K349" s="17">
        <v>0</v>
      </c>
      <c r="L349" s="17"/>
      <c r="M349" s="22">
        <v>0</v>
      </c>
      <c r="N349" s="17"/>
      <c r="O349" s="22">
        <v>0</v>
      </c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>
        <v>0</v>
      </c>
      <c r="I350" s="17"/>
      <c r="J350" s="17">
        <v>0</v>
      </c>
      <c r="K350" s="17"/>
      <c r="L350" s="17">
        <v>0</v>
      </c>
      <c r="M350" s="22"/>
      <c r="N350" s="17">
        <v>0</v>
      </c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>
        <v>0</v>
      </c>
      <c r="J351" s="17"/>
      <c r="K351" s="17">
        <v>0</v>
      </c>
      <c r="L351" s="17"/>
      <c r="M351" s="22">
        <v>0</v>
      </c>
      <c r="N351" s="17"/>
      <c r="O351" s="22">
        <v>0</v>
      </c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>
        <v>0</v>
      </c>
      <c r="I352" s="17"/>
      <c r="J352" s="17">
        <v>0</v>
      </c>
      <c r="K352" s="17"/>
      <c r="L352" s="17">
        <v>0</v>
      </c>
      <c r="M352" s="22"/>
      <c r="N352" s="17">
        <v>0</v>
      </c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>
        <v>0</v>
      </c>
      <c r="J353" s="17"/>
      <c r="K353" s="17">
        <v>0</v>
      </c>
      <c r="L353" s="17"/>
      <c r="M353" s="22">
        <v>0</v>
      </c>
      <c r="N353" s="17"/>
      <c r="O353" s="22">
        <v>0</v>
      </c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>
        <v>0</v>
      </c>
      <c r="I354" s="17"/>
      <c r="J354" s="17">
        <v>0</v>
      </c>
      <c r="K354" s="17"/>
      <c r="L354" s="17">
        <v>0</v>
      </c>
      <c r="M354" s="22"/>
      <c r="N354" s="17">
        <v>0</v>
      </c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384.5</v>
      </c>
      <c r="F355" s="17"/>
      <c r="G355" s="17">
        <v>143</v>
      </c>
      <c r="H355" s="16"/>
      <c r="I355" s="17">
        <v>384.5</v>
      </c>
      <c r="J355" s="17"/>
      <c r="K355" s="17">
        <v>143</v>
      </c>
      <c r="L355" s="17"/>
      <c r="M355" s="22">
        <v>384.5</v>
      </c>
      <c r="N355" s="17"/>
      <c r="O355" s="22">
        <v>143</v>
      </c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30.76</v>
      </c>
      <c r="E356" s="17"/>
      <c r="F356" s="17">
        <v>11.44</v>
      </c>
      <c r="G356" s="17"/>
      <c r="H356" s="16">
        <v>30.76</v>
      </c>
      <c r="I356" s="17"/>
      <c r="J356" s="17">
        <v>11.44</v>
      </c>
      <c r="K356" s="17"/>
      <c r="L356" s="17">
        <v>30.76</v>
      </c>
      <c r="M356" s="22"/>
      <c r="N356" s="17">
        <v>11.44</v>
      </c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1560.25</v>
      </c>
      <c r="F357" s="17"/>
      <c r="G357" s="17">
        <v>510</v>
      </c>
      <c r="H357" s="16"/>
      <c r="I357" s="17">
        <v>1560.25</v>
      </c>
      <c r="J357" s="17"/>
      <c r="K357" s="17">
        <v>510</v>
      </c>
      <c r="L357" s="17"/>
      <c r="M357" s="22">
        <v>1505.13</v>
      </c>
      <c r="N357" s="17"/>
      <c r="O357" s="22">
        <v>510</v>
      </c>
      <c r="P357" s="19">
        <f t="shared" si="57"/>
        <v>55.1199999999999</v>
      </c>
    </row>
    <row r="358" ht="12" customHeight="1" spans="1:16">
      <c r="A358" s="14">
        <v>175</v>
      </c>
      <c r="B358" s="15" t="s">
        <v>190</v>
      </c>
      <c r="C358" s="18"/>
      <c r="D358" s="16">
        <v>94.06</v>
      </c>
      <c r="E358" s="17"/>
      <c r="F358" s="17">
        <v>29.36</v>
      </c>
      <c r="G358" s="17"/>
      <c r="H358" s="16">
        <v>94.06</v>
      </c>
      <c r="I358" s="17"/>
      <c r="J358" s="17">
        <v>29.36</v>
      </c>
      <c r="K358" s="17"/>
      <c r="L358" s="17">
        <v>89.65</v>
      </c>
      <c r="M358" s="22"/>
      <c r="N358" s="17">
        <v>29.36</v>
      </c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4861.88</v>
      </c>
      <c r="F359" s="17"/>
      <c r="G359" s="17">
        <v>910.63</v>
      </c>
      <c r="H359" s="16"/>
      <c r="I359" s="17">
        <v>4861.88</v>
      </c>
      <c r="J359" s="17"/>
      <c r="K359" s="17">
        <v>910.63</v>
      </c>
      <c r="L359" s="17"/>
      <c r="M359" s="22">
        <v>4438</v>
      </c>
      <c r="N359" s="17"/>
      <c r="O359" s="22">
        <v>910.63</v>
      </c>
      <c r="P359" s="19">
        <f t="shared" si="57"/>
        <v>423.88</v>
      </c>
    </row>
    <row r="360" ht="12" customHeight="1" spans="1:16">
      <c r="A360" s="14">
        <v>176</v>
      </c>
      <c r="B360" s="15" t="s">
        <v>191</v>
      </c>
      <c r="C360" s="18"/>
      <c r="D360" s="16">
        <v>294.89</v>
      </c>
      <c r="E360" s="17"/>
      <c r="F360" s="17">
        <v>43.49</v>
      </c>
      <c r="G360" s="17"/>
      <c r="H360" s="16">
        <v>294.89</v>
      </c>
      <c r="I360" s="17"/>
      <c r="J360" s="17">
        <v>43.49</v>
      </c>
      <c r="K360" s="17"/>
      <c r="L360" s="17">
        <v>265.39</v>
      </c>
      <c r="M360" s="22"/>
      <c r="N360" s="17">
        <v>43.49</v>
      </c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8347.38</v>
      </c>
      <c r="F361" s="17"/>
      <c r="G361" s="17">
        <v>1303.25</v>
      </c>
      <c r="H361" s="16"/>
      <c r="I361" s="17">
        <v>8347.38</v>
      </c>
      <c r="J361" s="17"/>
      <c r="K361" s="17">
        <v>1303.25</v>
      </c>
      <c r="L361" s="17"/>
      <c r="M361" s="22">
        <v>7741.95</v>
      </c>
      <c r="N361" s="17"/>
      <c r="O361" s="22">
        <v>1303.25</v>
      </c>
      <c r="P361" s="19">
        <f>I361+K361-M361-O361</f>
        <v>605.429999999999</v>
      </c>
    </row>
    <row r="362" ht="12" customHeight="1" spans="1:16">
      <c r="A362" s="14">
        <v>177</v>
      </c>
      <c r="B362" s="15" t="s">
        <v>192</v>
      </c>
      <c r="C362" s="18"/>
      <c r="D362" s="16">
        <v>372.9</v>
      </c>
      <c r="E362" s="17"/>
      <c r="F362" s="17">
        <v>60.77</v>
      </c>
      <c r="G362" s="17"/>
      <c r="H362" s="16">
        <v>372.9</v>
      </c>
      <c r="I362" s="17"/>
      <c r="J362" s="17">
        <v>60.77</v>
      </c>
      <c r="K362" s="17"/>
      <c r="L362" s="17">
        <v>353.97</v>
      </c>
      <c r="M362" s="22"/>
      <c r="N362" s="17">
        <v>60.77</v>
      </c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11481.5</v>
      </c>
      <c r="F363" s="17"/>
      <c r="G363" s="24">
        <v>1607</v>
      </c>
      <c r="H363" s="16"/>
      <c r="I363" s="24">
        <v>11481.5</v>
      </c>
      <c r="J363" s="17"/>
      <c r="K363" s="24">
        <v>1607</v>
      </c>
      <c r="L363" s="17"/>
      <c r="M363" s="24">
        <v>11042.85</v>
      </c>
      <c r="N363" s="17"/>
      <c r="O363" s="24">
        <v>1607</v>
      </c>
      <c r="P363" s="19">
        <f>I363+K363-M363-O363</f>
        <v>438.65</v>
      </c>
    </row>
    <row r="364" ht="12" customHeight="1" spans="1:16">
      <c r="A364" s="14">
        <v>178</v>
      </c>
      <c r="B364" s="15" t="s">
        <v>193</v>
      </c>
      <c r="C364" s="25"/>
      <c r="D364" s="16">
        <v>545.62</v>
      </c>
      <c r="E364" s="26"/>
      <c r="F364" s="17">
        <v>67.79</v>
      </c>
      <c r="G364" s="26"/>
      <c r="H364" s="16">
        <v>545.62</v>
      </c>
      <c r="I364" s="26"/>
      <c r="J364" s="17">
        <v>67.79</v>
      </c>
      <c r="K364" s="26"/>
      <c r="L364" s="17">
        <v>529.46</v>
      </c>
      <c r="M364" s="26"/>
      <c r="N364" s="17">
        <v>67.79</v>
      </c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15271.5</v>
      </c>
      <c r="F365" s="17"/>
      <c r="G365" s="17">
        <v>1983.25</v>
      </c>
      <c r="H365" s="16"/>
      <c r="I365" s="17">
        <v>15271.5</v>
      </c>
      <c r="J365" s="17"/>
      <c r="K365" s="17">
        <v>1983.25</v>
      </c>
      <c r="L365" s="17"/>
      <c r="M365" s="22">
        <v>14822.77</v>
      </c>
      <c r="N365" s="17"/>
      <c r="O365" s="22">
        <v>1983.25</v>
      </c>
      <c r="P365" s="19">
        <f>I365+K365-M365-O365</f>
        <v>448.73</v>
      </c>
    </row>
    <row r="366" ht="12" customHeight="1" spans="1:16">
      <c r="A366" s="14">
        <v>179</v>
      </c>
      <c r="B366" s="15" t="s">
        <v>194</v>
      </c>
      <c r="C366" s="18"/>
      <c r="D366" s="16">
        <v>676.1</v>
      </c>
      <c r="E366" s="17"/>
      <c r="F366" s="17">
        <v>90.87</v>
      </c>
      <c r="G366" s="17"/>
      <c r="H366" s="16">
        <v>676.1</v>
      </c>
      <c r="I366" s="17"/>
      <c r="J366" s="17">
        <v>90.87</v>
      </c>
      <c r="K366" s="17"/>
      <c r="L366" s="17">
        <v>656.36</v>
      </c>
      <c r="M366" s="22"/>
      <c r="N366" s="17">
        <v>90.87</v>
      </c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15125.5</v>
      </c>
      <c r="F367" s="17"/>
      <c r="G367" s="17">
        <v>2043.63</v>
      </c>
      <c r="H367" s="16"/>
      <c r="I367" s="17">
        <v>15125.5</v>
      </c>
      <c r="J367" s="17"/>
      <c r="K367" s="17">
        <v>2043.63</v>
      </c>
      <c r="L367" s="17"/>
      <c r="M367" s="22">
        <v>14662.13</v>
      </c>
      <c r="N367" s="17"/>
      <c r="O367" s="22">
        <v>2043.63</v>
      </c>
      <c r="P367" s="19">
        <f>I367+K367-M367-O367</f>
        <v>463.370000000002</v>
      </c>
    </row>
    <row r="368" ht="12" customHeight="1" spans="1:16">
      <c r="A368" s="14">
        <v>180</v>
      </c>
      <c r="B368" s="15" t="s">
        <v>195</v>
      </c>
      <c r="C368" s="18"/>
      <c r="D368" s="16">
        <v>533.94</v>
      </c>
      <c r="E368" s="17"/>
      <c r="F368" s="17">
        <v>72.62</v>
      </c>
      <c r="G368" s="17"/>
      <c r="H368" s="16">
        <v>533.94</v>
      </c>
      <c r="I368" s="17"/>
      <c r="J368" s="17">
        <v>72.62</v>
      </c>
      <c r="K368" s="17"/>
      <c r="L368" s="17">
        <v>516.61</v>
      </c>
      <c r="M368" s="22"/>
      <c r="N368" s="17">
        <v>72.62</v>
      </c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12082.88</v>
      </c>
      <c r="F369" s="17"/>
      <c r="G369" s="17">
        <v>1719.13</v>
      </c>
      <c r="H369" s="16"/>
      <c r="I369" s="17">
        <v>12082.88</v>
      </c>
      <c r="J369" s="17"/>
      <c r="K369" s="17">
        <v>1719.13</v>
      </c>
      <c r="L369" s="17"/>
      <c r="M369" s="22">
        <v>11732.88</v>
      </c>
      <c r="N369" s="17"/>
      <c r="O369" s="22">
        <v>1719.13</v>
      </c>
      <c r="P369" s="19">
        <f>I369+K369-M369-O369</f>
        <v>349.999999999999</v>
      </c>
    </row>
    <row r="370" ht="12" customHeight="1" spans="1:16">
      <c r="A370" s="14">
        <v>181</v>
      </c>
      <c r="B370" s="15" t="s">
        <v>196</v>
      </c>
      <c r="C370" s="25"/>
      <c r="D370" s="16">
        <v>432.69</v>
      </c>
      <c r="E370" s="17"/>
      <c r="F370" s="17">
        <v>64.91</v>
      </c>
      <c r="G370" s="17"/>
      <c r="H370" s="16">
        <v>432.69</v>
      </c>
      <c r="I370" s="17"/>
      <c r="J370" s="17">
        <v>64.91</v>
      </c>
      <c r="K370" s="17"/>
      <c r="L370" s="17">
        <v>422.02</v>
      </c>
      <c r="M370" s="22"/>
      <c r="N370" s="17">
        <v>64.91</v>
      </c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9997.63</v>
      </c>
      <c r="F371" s="17"/>
      <c r="G371" s="17">
        <v>1447.25</v>
      </c>
      <c r="H371" s="16"/>
      <c r="I371" s="17">
        <v>9997.63</v>
      </c>
      <c r="J371" s="17"/>
      <c r="K371" s="17">
        <v>1447.25</v>
      </c>
      <c r="L371" s="17"/>
      <c r="M371" s="22">
        <v>9732.75</v>
      </c>
      <c r="N371" s="17"/>
      <c r="O371" s="22">
        <v>1447.25</v>
      </c>
      <c r="P371" s="19">
        <f>I371+K371-M371-O371</f>
        <v>264.879999999999</v>
      </c>
    </row>
    <row r="372" ht="12" customHeight="1" spans="1:16">
      <c r="A372" s="14">
        <v>182</v>
      </c>
      <c r="B372" s="15" t="s">
        <v>197</v>
      </c>
      <c r="C372" s="18"/>
      <c r="D372" s="16">
        <v>367.12</v>
      </c>
      <c r="E372" s="17"/>
      <c r="F372" s="17">
        <v>50.87</v>
      </c>
      <c r="G372" s="17"/>
      <c r="H372" s="16">
        <v>367.12</v>
      </c>
      <c r="I372" s="17"/>
      <c r="J372" s="17">
        <v>50.87</v>
      </c>
      <c r="K372" s="17"/>
      <c r="L372" s="17">
        <v>356.6</v>
      </c>
      <c r="M372" s="22"/>
      <c r="N372" s="17">
        <v>50.87</v>
      </c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9282.38</v>
      </c>
      <c r="F373" s="17"/>
      <c r="G373" s="17">
        <v>1272.5</v>
      </c>
      <c r="H373" s="16"/>
      <c r="I373" s="17">
        <v>9282.38</v>
      </c>
      <c r="J373" s="17"/>
      <c r="K373" s="17">
        <v>1272.5</v>
      </c>
      <c r="L373" s="17"/>
      <c r="M373" s="22">
        <v>9038.33</v>
      </c>
      <c r="N373" s="17"/>
      <c r="O373" s="22">
        <v>1272.5</v>
      </c>
      <c r="P373" s="19">
        <f>I373+K373-M373-O373</f>
        <v>244.049999999999</v>
      </c>
    </row>
    <row r="374" ht="12" customHeight="1" spans="1:16">
      <c r="A374" s="14">
        <v>183</v>
      </c>
      <c r="B374" s="15" t="s">
        <v>198</v>
      </c>
      <c r="C374" s="18"/>
      <c r="D374" s="16">
        <v>375.47</v>
      </c>
      <c r="E374" s="17"/>
      <c r="F374" s="17">
        <v>50.93</v>
      </c>
      <c r="G374" s="17"/>
      <c r="H374" s="16">
        <v>375.47</v>
      </c>
      <c r="I374" s="17"/>
      <c r="J374" s="17">
        <v>50.93</v>
      </c>
      <c r="K374" s="17"/>
      <c r="L374" s="17">
        <v>366.46</v>
      </c>
      <c r="M374" s="22"/>
      <c r="N374" s="17">
        <v>50.93</v>
      </c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8897.75</v>
      </c>
      <c r="F375" s="17"/>
      <c r="G375" s="17">
        <v>1136.38</v>
      </c>
      <c r="H375" s="16"/>
      <c r="I375" s="17">
        <v>8897.75</v>
      </c>
      <c r="J375" s="17"/>
      <c r="K375" s="17">
        <v>1136.38</v>
      </c>
      <c r="L375" s="17"/>
      <c r="M375" s="22">
        <v>8686.13</v>
      </c>
      <c r="N375" s="17"/>
      <c r="O375" s="22">
        <v>1136.38</v>
      </c>
      <c r="P375" s="19">
        <f>I375+K375-M375-O375</f>
        <v>211.620000000002</v>
      </c>
    </row>
    <row r="376" ht="12" customHeight="1" spans="1:16">
      <c r="A376" s="14">
        <v>184</v>
      </c>
      <c r="B376" s="15" t="s">
        <v>199</v>
      </c>
      <c r="C376" s="25"/>
      <c r="D376" s="16">
        <v>336.35</v>
      </c>
      <c r="E376" s="17"/>
      <c r="F376" s="17">
        <v>39.98</v>
      </c>
      <c r="G376" s="17"/>
      <c r="H376" s="16">
        <v>336.35</v>
      </c>
      <c r="I376" s="17"/>
      <c r="J376" s="17">
        <v>39.98</v>
      </c>
      <c r="K376" s="17"/>
      <c r="L376" s="17">
        <v>328.43</v>
      </c>
      <c r="M376" s="22"/>
      <c r="N376" s="17">
        <v>39.98</v>
      </c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8111.88</v>
      </c>
      <c r="F377" s="17"/>
      <c r="G377" s="17">
        <v>943.88</v>
      </c>
      <c r="H377" s="16"/>
      <c r="I377" s="17">
        <v>8111.88</v>
      </c>
      <c r="J377" s="17"/>
      <c r="K377" s="17">
        <v>943.88</v>
      </c>
      <c r="L377" s="17"/>
      <c r="M377" s="22">
        <v>7811.38</v>
      </c>
      <c r="N377" s="17"/>
      <c r="O377" s="22">
        <v>943.88</v>
      </c>
      <c r="P377" s="19">
        <f>I377+K377-M377-O377</f>
        <v>300.5</v>
      </c>
    </row>
    <row r="378" ht="12" customHeight="1" spans="1:16">
      <c r="A378" s="14">
        <v>185</v>
      </c>
      <c r="B378" s="15" t="s">
        <v>200</v>
      </c>
      <c r="C378" s="18"/>
      <c r="D378" s="16">
        <v>312.6</v>
      </c>
      <c r="E378" s="17"/>
      <c r="F378" s="17">
        <v>35.53</v>
      </c>
      <c r="G378" s="17"/>
      <c r="H378" s="16">
        <v>312.6</v>
      </c>
      <c r="I378" s="17"/>
      <c r="J378" s="17">
        <v>35.53</v>
      </c>
      <c r="K378" s="17"/>
      <c r="L378" s="17">
        <v>296.48</v>
      </c>
      <c r="M378" s="22"/>
      <c r="N378" s="17">
        <v>35.53</v>
      </c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7535.88</v>
      </c>
      <c r="F379" s="17"/>
      <c r="G379" s="17">
        <v>900.38</v>
      </c>
      <c r="H379" s="16"/>
      <c r="I379" s="17">
        <v>7535.88</v>
      </c>
      <c r="J379" s="17"/>
      <c r="K379" s="17">
        <v>900.38</v>
      </c>
      <c r="L379" s="17"/>
      <c r="M379" s="22">
        <v>7226.38</v>
      </c>
      <c r="N379" s="17"/>
      <c r="O379" s="22">
        <v>900.38</v>
      </c>
      <c r="P379" s="19">
        <f>I379+K379-M379-O379</f>
        <v>309.5</v>
      </c>
    </row>
    <row r="380" ht="12" customHeight="1" spans="1:16">
      <c r="A380" s="14">
        <v>186</v>
      </c>
      <c r="B380" s="15" t="s">
        <v>201</v>
      </c>
      <c r="C380" s="18"/>
      <c r="D380" s="16">
        <v>290.27</v>
      </c>
      <c r="E380" s="17"/>
      <c r="F380" s="17">
        <v>36.5</v>
      </c>
      <c r="G380" s="17"/>
      <c r="H380" s="16">
        <v>290.27</v>
      </c>
      <c r="I380" s="17"/>
      <c r="J380" s="17">
        <v>36.5</v>
      </c>
      <c r="K380" s="17"/>
      <c r="L380" s="17">
        <v>281.63</v>
      </c>
      <c r="M380" s="22"/>
      <c r="N380" s="17">
        <v>36.5</v>
      </c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7124.75</v>
      </c>
      <c r="F381" s="17"/>
      <c r="G381" s="17">
        <v>895</v>
      </c>
      <c r="H381" s="16"/>
      <c r="I381" s="17">
        <v>7124.75</v>
      </c>
      <c r="J381" s="17"/>
      <c r="K381" s="17">
        <v>895</v>
      </c>
      <c r="L381" s="17"/>
      <c r="M381" s="22">
        <v>6855.13</v>
      </c>
      <c r="N381" s="17"/>
      <c r="O381" s="22">
        <v>895</v>
      </c>
      <c r="P381" s="19">
        <f>I381+K381-M381-O381</f>
        <v>269.62</v>
      </c>
    </row>
    <row r="382" ht="12" customHeight="1" spans="1:16">
      <c r="A382" s="14">
        <v>187</v>
      </c>
      <c r="B382" s="15" t="s">
        <v>202</v>
      </c>
      <c r="C382" s="25"/>
      <c r="D382" s="16">
        <v>279.71</v>
      </c>
      <c r="E382" s="17"/>
      <c r="F382" s="17">
        <v>35.1</v>
      </c>
      <c r="G382" s="17"/>
      <c r="H382" s="16">
        <v>279.71</v>
      </c>
      <c r="I382" s="17"/>
      <c r="J382" s="17">
        <v>35.1</v>
      </c>
      <c r="K382" s="17"/>
      <c r="L382" s="17">
        <v>266.78</v>
      </c>
      <c r="M382" s="22"/>
      <c r="N382" s="17">
        <v>35.1</v>
      </c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7058.88</v>
      </c>
      <c r="F383" s="17"/>
      <c r="G383" s="17">
        <v>904.5</v>
      </c>
      <c r="H383" s="16"/>
      <c r="I383" s="17">
        <v>7058.88</v>
      </c>
      <c r="J383" s="17"/>
      <c r="K383" s="17">
        <v>904.5</v>
      </c>
      <c r="L383" s="17"/>
      <c r="M383" s="22">
        <v>6807.25</v>
      </c>
      <c r="N383" s="17"/>
      <c r="O383" s="22">
        <v>904.5</v>
      </c>
      <c r="P383" s="19">
        <f>I383+K383-M383-O383</f>
        <v>251.63</v>
      </c>
    </row>
    <row r="384" ht="12" customHeight="1" spans="1:16">
      <c r="A384" s="14">
        <v>188</v>
      </c>
      <c r="B384" s="15" t="s">
        <v>203</v>
      </c>
      <c r="C384" s="18"/>
      <c r="D384" s="16">
        <v>285</v>
      </c>
      <c r="E384" s="17"/>
      <c r="F384" s="17">
        <v>37.26</v>
      </c>
      <c r="G384" s="17"/>
      <c r="H384" s="16">
        <v>285</v>
      </c>
      <c r="I384" s="17"/>
      <c r="J384" s="17">
        <v>37.26</v>
      </c>
      <c r="K384" s="17"/>
      <c r="L384" s="17">
        <v>277.8</v>
      </c>
      <c r="M384" s="22"/>
      <c r="N384" s="17">
        <v>37.26</v>
      </c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7214.38</v>
      </c>
      <c r="F385" s="17"/>
      <c r="G385" s="17">
        <v>1000</v>
      </c>
      <c r="H385" s="16"/>
      <c r="I385" s="17">
        <v>7214.38</v>
      </c>
      <c r="J385" s="17"/>
      <c r="K385" s="17">
        <v>1000</v>
      </c>
      <c r="L385" s="17"/>
      <c r="M385" s="22">
        <v>6943.5</v>
      </c>
      <c r="N385" s="17"/>
      <c r="O385" s="22">
        <v>1000</v>
      </c>
      <c r="P385" s="19">
        <f>I385+K385-M385-O385</f>
        <v>270.880000000001</v>
      </c>
    </row>
    <row r="386" ht="12" customHeight="1" spans="1:16">
      <c r="A386" s="14">
        <v>189</v>
      </c>
      <c r="B386" s="15" t="s">
        <v>204</v>
      </c>
      <c r="C386" s="18"/>
      <c r="D386" s="16">
        <v>292.15</v>
      </c>
      <c r="E386" s="17"/>
      <c r="F386" s="17">
        <v>42.74</v>
      </c>
      <c r="G386" s="17"/>
      <c r="H386" s="16">
        <v>292.15</v>
      </c>
      <c r="I386" s="17"/>
      <c r="J386" s="17">
        <v>42.74</v>
      </c>
      <c r="K386" s="17"/>
      <c r="L386" s="17">
        <v>277.68</v>
      </c>
      <c r="M386" s="22"/>
      <c r="N386" s="17">
        <v>42.74</v>
      </c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6851.88</v>
      </c>
      <c r="F387" s="17"/>
      <c r="G387" s="17">
        <v>988</v>
      </c>
      <c r="H387" s="16"/>
      <c r="I387" s="17">
        <v>6851.88</v>
      </c>
      <c r="J387" s="17"/>
      <c r="K387" s="17">
        <v>988</v>
      </c>
      <c r="L387" s="17"/>
      <c r="M387" s="22">
        <v>6508.75</v>
      </c>
      <c r="N387" s="17"/>
      <c r="O387" s="22">
        <v>988</v>
      </c>
      <c r="P387" s="19">
        <f>I387+K387-M387-O387</f>
        <v>343.13</v>
      </c>
    </row>
    <row r="388" ht="12" customHeight="1" spans="1:16">
      <c r="A388" s="14">
        <v>190</v>
      </c>
      <c r="B388" s="15" t="s">
        <v>205</v>
      </c>
      <c r="C388" s="25"/>
      <c r="D388" s="16">
        <v>256</v>
      </c>
      <c r="E388" s="17"/>
      <c r="F388" s="17">
        <v>36.3</v>
      </c>
      <c r="G388" s="17"/>
      <c r="H388" s="16">
        <v>256</v>
      </c>
      <c r="I388" s="17"/>
      <c r="J388" s="17">
        <v>36.3</v>
      </c>
      <c r="K388" s="17"/>
      <c r="L388" s="17">
        <v>243.02</v>
      </c>
      <c r="M388" s="22"/>
      <c r="N388" s="17">
        <v>36.3</v>
      </c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6744</v>
      </c>
      <c r="F389" s="17"/>
      <c r="G389" s="17">
        <v>904.38</v>
      </c>
      <c r="H389" s="16"/>
      <c r="I389" s="17">
        <v>6744</v>
      </c>
      <c r="J389" s="17"/>
      <c r="K389" s="17">
        <v>904.38</v>
      </c>
      <c r="L389" s="17"/>
      <c r="M389" s="22">
        <v>6493</v>
      </c>
      <c r="N389" s="17"/>
      <c r="O389" s="22">
        <v>904.38</v>
      </c>
      <c r="P389" s="19">
        <f>I389+K389-M389-O389</f>
        <v>251</v>
      </c>
    </row>
    <row r="390" ht="12" customHeight="1" spans="1:16">
      <c r="A390" s="14">
        <v>191</v>
      </c>
      <c r="B390" s="15" t="s">
        <v>206</v>
      </c>
      <c r="C390" s="18"/>
      <c r="D390" s="16">
        <v>283.52</v>
      </c>
      <c r="E390" s="17"/>
      <c r="F390" s="17">
        <v>36.05</v>
      </c>
      <c r="G390" s="17"/>
      <c r="H390" s="16">
        <v>283.52</v>
      </c>
      <c r="I390" s="17"/>
      <c r="J390" s="17">
        <v>36.05</v>
      </c>
      <c r="K390" s="17"/>
      <c r="L390" s="17">
        <v>276.42</v>
      </c>
      <c r="M390" s="22"/>
      <c r="N390" s="17">
        <v>36.05</v>
      </c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9428.75</v>
      </c>
      <c r="F391" s="17"/>
      <c r="G391" s="17">
        <v>1238</v>
      </c>
      <c r="H391" s="16"/>
      <c r="I391" s="17">
        <v>9428.75</v>
      </c>
      <c r="J391" s="17"/>
      <c r="K391" s="17">
        <v>1238</v>
      </c>
      <c r="L391" s="17"/>
      <c r="M391" s="22">
        <v>9177</v>
      </c>
      <c r="N391" s="17"/>
      <c r="O391" s="22">
        <v>1238</v>
      </c>
      <c r="P391" s="19">
        <f>I391+K391-M391-O391</f>
        <v>251.75</v>
      </c>
    </row>
    <row r="392" ht="12" customHeight="1" spans="1:16">
      <c r="A392" s="14">
        <v>192</v>
      </c>
      <c r="B392" s="15" t="s">
        <v>207</v>
      </c>
      <c r="C392" s="18"/>
      <c r="D392" s="16">
        <v>470.78</v>
      </c>
      <c r="E392" s="17"/>
      <c r="F392" s="17">
        <v>62.99</v>
      </c>
      <c r="G392" s="17"/>
      <c r="H392" s="16">
        <v>470.78</v>
      </c>
      <c r="I392" s="17"/>
      <c r="J392" s="17">
        <v>62.99</v>
      </c>
      <c r="K392" s="17"/>
      <c r="L392" s="17">
        <v>457.74</v>
      </c>
      <c r="M392" s="22"/>
      <c r="N392" s="17">
        <v>62.99</v>
      </c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12250.5</v>
      </c>
      <c r="F393" s="17"/>
      <c r="G393" s="17">
        <v>1658</v>
      </c>
      <c r="H393" s="16"/>
      <c r="I393" s="17">
        <v>12250.5</v>
      </c>
      <c r="J393" s="17"/>
      <c r="K393" s="17">
        <v>1658</v>
      </c>
      <c r="L393" s="17"/>
      <c r="M393" s="22">
        <v>11942.38</v>
      </c>
      <c r="N393" s="17"/>
      <c r="O393" s="22">
        <v>1658</v>
      </c>
      <c r="P393" s="19">
        <f>I393+K393-M393-O393</f>
        <v>308.120000000001</v>
      </c>
    </row>
    <row r="394" ht="12" customHeight="1" spans="1:16">
      <c r="A394" s="14">
        <v>193</v>
      </c>
      <c r="B394" s="15" t="s">
        <v>208</v>
      </c>
      <c r="C394" s="25"/>
      <c r="D394" s="16">
        <v>509.26</v>
      </c>
      <c r="E394" s="17"/>
      <c r="F394" s="17">
        <v>69.65</v>
      </c>
      <c r="G394" s="17"/>
      <c r="H394" s="16">
        <v>509.26</v>
      </c>
      <c r="I394" s="17"/>
      <c r="J394" s="17">
        <v>69.65</v>
      </c>
      <c r="K394" s="17"/>
      <c r="L394" s="17">
        <v>497.65</v>
      </c>
      <c r="M394" s="22"/>
      <c r="N394" s="17">
        <v>69.65</v>
      </c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13525.38</v>
      </c>
      <c r="F395" s="17"/>
      <c r="G395" s="17">
        <v>1835.75</v>
      </c>
      <c r="H395" s="16"/>
      <c r="I395" s="17">
        <v>13525.38</v>
      </c>
      <c r="J395" s="17"/>
      <c r="K395" s="17">
        <v>1835.75</v>
      </c>
      <c r="L395" s="17"/>
      <c r="M395" s="22">
        <v>13154.63</v>
      </c>
      <c r="N395" s="17"/>
      <c r="O395" s="22">
        <v>1835.75</v>
      </c>
      <c r="P395" s="19">
        <f>I395+K395-M395-O395</f>
        <v>370.75</v>
      </c>
    </row>
    <row r="396" ht="12" customHeight="1" spans="1:16">
      <c r="A396" s="14">
        <v>194</v>
      </c>
      <c r="B396" s="15" t="s">
        <v>209</v>
      </c>
      <c r="C396" s="18"/>
      <c r="D396" s="16">
        <v>572.77</v>
      </c>
      <c r="E396" s="17"/>
      <c r="F396" s="17">
        <v>77.21</v>
      </c>
      <c r="G396" s="17"/>
      <c r="H396" s="16">
        <v>572.77</v>
      </c>
      <c r="I396" s="17"/>
      <c r="J396" s="17">
        <v>77.21</v>
      </c>
      <c r="K396" s="17"/>
      <c r="L396" s="17">
        <v>554.72</v>
      </c>
      <c r="M396" s="22"/>
      <c r="N396" s="17">
        <v>77.21</v>
      </c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14710.25</v>
      </c>
      <c r="F397" s="17"/>
      <c r="G397" s="17">
        <v>2002.75</v>
      </c>
      <c r="H397" s="16"/>
      <c r="I397" s="17">
        <v>14710.25</v>
      </c>
      <c r="J397" s="17"/>
      <c r="K397" s="17">
        <v>2002.75</v>
      </c>
      <c r="L397" s="17"/>
      <c r="M397" s="22">
        <v>14249.25</v>
      </c>
      <c r="N397" s="17"/>
      <c r="O397" s="22">
        <v>2002.75</v>
      </c>
      <c r="P397" s="19">
        <f>I397+K397-M397-O397</f>
        <v>461</v>
      </c>
    </row>
    <row r="398" ht="12" customHeight="1" spans="1:16">
      <c r="A398" s="14">
        <v>195</v>
      </c>
      <c r="B398" s="15" t="s">
        <v>210</v>
      </c>
      <c r="C398" s="18"/>
      <c r="D398" s="16">
        <v>604.05</v>
      </c>
      <c r="E398" s="17"/>
      <c r="F398" s="17">
        <v>83.01</v>
      </c>
      <c r="G398" s="17"/>
      <c r="H398" s="16">
        <v>604.05</v>
      </c>
      <c r="I398" s="17"/>
      <c r="J398" s="17">
        <v>83.01</v>
      </c>
      <c r="K398" s="17"/>
      <c r="L398" s="17">
        <v>585.22</v>
      </c>
      <c r="M398" s="22"/>
      <c r="N398" s="17">
        <v>83.01</v>
      </c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15598.5</v>
      </c>
      <c r="F399" s="17"/>
      <c r="G399" s="17">
        <v>2159</v>
      </c>
      <c r="H399" s="16"/>
      <c r="I399" s="17">
        <v>15598.5</v>
      </c>
      <c r="J399" s="17"/>
      <c r="K399" s="17">
        <v>2159</v>
      </c>
      <c r="L399" s="17"/>
      <c r="M399" s="22">
        <v>15117.98</v>
      </c>
      <c r="N399" s="17"/>
      <c r="O399" s="22">
        <v>2159</v>
      </c>
      <c r="P399" s="19">
        <f>I399+K399-M399-O399</f>
        <v>480.52</v>
      </c>
    </row>
    <row r="400" ht="12" customHeight="1" spans="1:16">
      <c r="A400" s="14">
        <v>196</v>
      </c>
      <c r="B400" s="15" t="s">
        <v>211</v>
      </c>
      <c r="C400" s="25"/>
      <c r="D400" s="16">
        <v>643.83</v>
      </c>
      <c r="E400" s="17"/>
      <c r="F400" s="17">
        <v>89.71</v>
      </c>
      <c r="G400" s="17"/>
      <c r="H400" s="16">
        <v>643.83</v>
      </c>
      <c r="I400" s="17"/>
      <c r="J400" s="17">
        <v>89.71</v>
      </c>
      <c r="K400" s="17"/>
      <c r="L400" s="17">
        <v>624.22</v>
      </c>
      <c r="M400" s="22"/>
      <c r="N400" s="17">
        <v>89.71</v>
      </c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16448</v>
      </c>
      <c r="F401" s="17"/>
      <c r="G401" s="17">
        <v>2248</v>
      </c>
      <c r="H401" s="16"/>
      <c r="I401" s="17">
        <v>16448</v>
      </c>
      <c r="J401" s="17"/>
      <c r="K401" s="17">
        <v>2248</v>
      </c>
      <c r="L401" s="17"/>
      <c r="M401" s="22">
        <v>15911.03</v>
      </c>
      <c r="N401" s="17"/>
      <c r="O401" s="22">
        <v>2248</v>
      </c>
      <c r="P401" s="19">
        <f>I401+K401-M401-O401</f>
        <v>536.969999999999</v>
      </c>
    </row>
    <row r="402" ht="12" customHeight="1" spans="1:16">
      <c r="A402" s="14">
        <v>197</v>
      </c>
      <c r="B402" s="15" t="s">
        <v>212</v>
      </c>
      <c r="C402" s="18"/>
      <c r="D402" s="16">
        <v>672.01</v>
      </c>
      <c r="E402" s="17"/>
      <c r="F402" s="17">
        <v>90.13</v>
      </c>
      <c r="G402" s="17"/>
      <c r="H402" s="16">
        <v>672.01</v>
      </c>
      <c r="I402" s="17"/>
      <c r="J402" s="17">
        <v>90.13</v>
      </c>
      <c r="K402" s="17"/>
      <c r="L402" s="17">
        <v>648.66</v>
      </c>
      <c r="M402" s="22"/>
      <c r="N402" s="17">
        <v>90.13</v>
      </c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16417.75</v>
      </c>
      <c r="F403" s="17"/>
      <c r="G403" s="17">
        <v>2241.88</v>
      </c>
      <c r="H403" s="16"/>
      <c r="I403" s="17">
        <v>16417.75</v>
      </c>
      <c r="J403" s="17"/>
      <c r="K403" s="17">
        <v>2241.88</v>
      </c>
      <c r="L403" s="17"/>
      <c r="M403" s="22">
        <v>15771.75</v>
      </c>
      <c r="N403" s="17"/>
      <c r="O403" s="22">
        <v>2241.88</v>
      </c>
      <c r="P403" s="19">
        <f>I403+K403-M403-O403</f>
        <v>646.000000000001</v>
      </c>
    </row>
    <row r="404" ht="12" customHeight="1" spans="1:16">
      <c r="A404" s="14">
        <v>198</v>
      </c>
      <c r="B404" s="15" t="s">
        <v>213</v>
      </c>
      <c r="C404" s="18"/>
      <c r="D404" s="16">
        <v>641.41</v>
      </c>
      <c r="E404" s="17"/>
      <c r="F404" s="17">
        <v>89.22</v>
      </c>
      <c r="G404" s="17"/>
      <c r="H404" s="16">
        <v>641.41</v>
      </c>
      <c r="I404" s="17"/>
      <c r="J404" s="17">
        <v>89.22</v>
      </c>
      <c r="K404" s="17"/>
      <c r="L404" s="17">
        <v>613.08</v>
      </c>
      <c r="M404" s="22"/>
      <c r="N404" s="17">
        <v>89.22</v>
      </c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16619</v>
      </c>
      <c r="F405" s="17"/>
      <c r="G405" s="17">
        <v>2235.5</v>
      </c>
      <c r="H405" s="16"/>
      <c r="I405" s="17">
        <v>16619</v>
      </c>
      <c r="J405" s="17"/>
      <c r="K405" s="17">
        <v>2235.5</v>
      </c>
      <c r="L405" s="17"/>
      <c r="M405" s="22">
        <v>15900</v>
      </c>
      <c r="N405" s="17"/>
      <c r="O405" s="22">
        <v>2235.5</v>
      </c>
      <c r="P405" s="19">
        <f>I405+K405-M405-O405</f>
        <v>719</v>
      </c>
    </row>
    <row r="406" ht="12" customHeight="1" spans="1:16">
      <c r="A406" s="14">
        <v>199</v>
      </c>
      <c r="B406" s="15" t="s">
        <v>214</v>
      </c>
      <c r="C406" s="25"/>
      <c r="D406" s="16">
        <v>688.11</v>
      </c>
      <c r="E406" s="17"/>
      <c r="F406" s="17">
        <v>89.62</v>
      </c>
      <c r="G406" s="17"/>
      <c r="H406" s="16">
        <v>688.11</v>
      </c>
      <c r="I406" s="17"/>
      <c r="J406" s="17">
        <v>89.62</v>
      </c>
      <c r="K406" s="17"/>
      <c r="L406" s="17">
        <v>658.92</v>
      </c>
      <c r="M406" s="22"/>
      <c r="N406" s="17">
        <v>89.62</v>
      </c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14548</v>
      </c>
      <c r="F407" s="17"/>
      <c r="G407" s="17">
        <v>1793.13</v>
      </c>
      <c r="H407" s="16"/>
      <c r="I407" s="17">
        <v>14548</v>
      </c>
      <c r="J407" s="17"/>
      <c r="K407" s="17">
        <v>1793.13</v>
      </c>
      <c r="L407" s="17"/>
      <c r="M407" s="22">
        <v>14103.6</v>
      </c>
      <c r="N407" s="17"/>
      <c r="O407" s="22">
        <v>1793.13</v>
      </c>
      <c r="P407" s="19">
        <f>I407+K407-M407-O407</f>
        <v>444.400000000001</v>
      </c>
    </row>
    <row r="408" ht="12" customHeight="1" spans="1:16">
      <c r="A408" s="14">
        <v>200</v>
      </c>
      <c r="B408" s="15" t="s">
        <v>215</v>
      </c>
      <c r="C408" s="18"/>
      <c r="D408" s="16">
        <v>475.73</v>
      </c>
      <c r="E408" s="17"/>
      <c r="F408" s="17">
        <v>53.83</v>
      </c>
      <c r="G408" s="17"/>
      <c r="H408" s="16">
        <v>475.73</v>
      </c>
      <c r="I408" s="17"/>
      <c r="J408" s="17">
        <v>53.83</v>
      </c>
      <c r="K408" s="17"/>
      <c r="L408" s="17">
        <v>469.368</v>
      </c>
      <c r="M408" s="22"/>
      <c r="N408" s="17">
        <v>53.83</v>
      </c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9568.75</v>
      </c>
      <c r="F409" s="17"/>
      <c r="G409" s="17">
        <v>1145</v>
      </c>
      <c r="H409" s="16"/>
      <c r="I409" s="17">
        <v>9568.75</v>
      </c>
      <c r="J409" s="17"/>
      <c r="K409" s="17">
        <v>1145</v>
      </c>
      <c r="L409" s="17"/>
      <c r="M409" s="22">
        <v>9431.85</v>
      </c>
      <c r="N409" s="17"/>
      <c r="O409" s="22">
        <v>1145</v>
      </c>
      <c r="P409" s="19">
        <f>I409+K409-M409-O409</f>
        <v>136.9</v>
      </c>
    </row>
    <row r="410" ht="12" customHeight="1" spans="1:16">
      <c r="A410" s="14">
        <v>201</v>
      </c>
      <c r="B410" s="15" t="s">
        <v>216</v>
      </c>
      <c r="C410" s="18"/>
      <c r="D410" s="16">
        <v>289.77</v>
      </c>
      <c r="E410" s="17"/>
      <c r="F410" s="17">
        <v>37.77</v>
      </c>
      <c r="G410" s="17"/>
      <c r="H410" s="16">
        <v>289.77</v>
      </c>
      <c r="I410" s="17"/>
      <c r="J410" s="17">
        <v>37.77</v>
      </c>
      <c r="K410" s="17"/>
      <c r="L410" s="17">
        <v>285.18</v>
      </c>
      <c r="M410" s="22"/>
      <c r="N410" s="17">
        <v>37.77</v>
      </c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6182.25</v>
      </c>
      <c r="F411" s="17"/>
      <c r="G411" s="17">
        <v>770</v>
      </c>
      <c r="H411" s="16"/>
      <c r="I411" s="17">
        <v>6182.25</v>
      </c>
      <c r="J411" s="17"/>
      <c r="K411" s="17">
        <v>770</v>
      </c>
      <c r="L411" s="17"/>
      <c r="M411" s="22">
        <v>6112.73</v>
      </c>
      <c r="N411" s="17"/>
      <c r="O411" s="22">
        <v>770</v>
      </c>
      <c r="P411" s="19">
        <f>I411+K411-M411-O411</f>
        <v>69.5200000000004</v>
      </c>
    </row>
    <row r="412" ht="12" customHeight="1" spans="1:16">
      <c r="A412" s="14">
        <v>202</v>
      </c>
      <c r="B412" s="15" t="s">
        <v>217</v>
      </c>
      <c r="C412" s="25"/>
      <c r="D412" s="16">
        <v>204.81</v>
      </c>
      <c r="E412" s="17"/>
      <c r="F412" s="17">
        <v>23.83</v>
      </c>
      <c r="G412" s="17"/>
      <c r="H412" s="16">
        <v>204.81</v>
      </c>
      <c r="I412" s="17"/>
      <c r="J412" s="17">
        <v>23.83</v>
      </c>
      <c r="K412" s="17"/>
      <c r="L412" s="17">
        <v>203.84</v>
      </c>
      <c r="M412" s="22"/>
      <c r="N412" s="17">
        <v>23.83</v>
      </c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4688.38</v>
      </c>
      <c r="F413" s="17"/>
      <c r="G413" s="17">
        <v>584.38</v>
      </c>
      <c r="H413" s="16"/>
      <c r="I413" s="17">
        <v>4688.38</v>
      </c>
      <c r="J413" s="17"/>
      <c r="K413" s="17">
        <v>584.38</v>
      </c>
      <c r="L413" s="17"/>
      <c r="M413" s="22">
        <v>4672</v>
      </c>
      <c r="N413" s="17"/>
      <c r="O413" s="22">
        <v>584.38</v>
      </c>
      <c r="P413" s="19">
        <f>I413+K413-M413-O413</f>
        <v>16.3800000000002</v>
      </c>
    </row>
    <row r="414" ht="12" customHeight="1" spans="1:16">
      <c r="A414" s="14">
        <v>203</v>
      </c>
      <c r="B414" s="15" t="s">
        <v>218</v>
      </c>
      <c r="C414" s="18"/>
      <c r="D414" s="16">
        <v>170.26</v>
      </c>
      <c r="E414" s="17"/>
      <c r="F414" s="17">
        <v>22.92</v>
      </c>
      <c r="G414" s="17"/>
      <c r="H414" s="16">
        <v>170.26</v>
      </c>
      <c r="I414" s="17"/>
      <c r="J414" s="17">
        <v>22.92</v>
      </c>
      <c r="K414" s="17"/>
      <c r="L414" s="17">
        <v>169.92</v>
      </c>
      <c r="M414" s="22"/>
      <c r="N414" s="17">
        <v>22.92</v>
      </c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4179.63</v>
      </c>
      <c r="F415" s="17"/>
      <c r="G415" s="17">
        <v>554.75</v>
      </c>
      <c r="H415" s="16"/>
      <c r="I415" s="17">
        <v>4179.63</v>
      </c>
      <c r="J415" s="17"/>
      <c r="K415" s="17">
        <v>554.75</v>
      </c>
      <c r="L415" s="17"/>
      <c r="M415" s="22">
        <v>4170.75</v>
      </c>
      <c r="N415" s="17"/>
      <c r="O415" s="22">
        <v>554.75</v>
      </c>
      <c r="P415" s="19">
        <f>I415+K415-M415-O415</f>
        <v>8.88000000000011</v>
      </c>
    </row>
    <row r="416" ht="12" customHeight="1" spans="1:16">
      <c r="A416" s="14">
        <v>204</v>
      </c>
      <c r="B416" s="15" t="s">
        <v>219</v>
      </c>
      <c r="C416" s="18"/>
      <c r="D416" s="16">
        <v>164.11</v>
      </c>
      <c r="E416" s="17"/>
      <c r="F416" s="17">
        <v>21.46</v>
      </c>
      <c r="G416" s="17"/>
      <c r="H416" s="16">
        <v>164.11</v>
      </c>
      <c r="I416" s="17"/>
      <c r="J416" s="17">
        <v>21.46</v>
      </c>
      <c r="K416" s="17"/>
      <c r="L416" s="17">
        <v>163.74</v>
      </c>
      <c r="M416" s="22"/>
      <c r="N416" s="17">
        <v>21.46</v>
      </c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3881.38</v>
      </c>
      <c r="F417" s="17"/>
      <c r="G417" s="17">
        <v>523.13</v>
      </c>
      <c r="H417" s="16"/>
      <c r="I417" s="17">
        <v>3881.38</v>
      </c>
      <c r="J417" s="17"/>
      <c r="K417" s="17">
        <v>523.13</v>
      </c>
      <c r="L417" s="17"/>
      <c r="M417" s="22">
        <v>3871.13</v>
      </c>
      <c r="N417" s="17"/>
      <c r="O417" s="22">
        <v>523.13</v>
      </c>
      <c r="P417" s="19">
        <f>I417+K417-M417-O417</f>
        <v>10.2500000000001</v>
      </c>
    </row>
    <row r="418" ht="12" customHeight="1" spans="1:16">
      <c r="A418" s="14">
        <v>205</v>
      </c>
      <c r="B418" s="15" t="s">
        <v>220</v>
      </c>
      <c r="C418" s="25"/>
      <c r="D418" s="16">
        <v>146.4</v>
      </c>
      <c r="E418" s="17"/>
      <c r="F418" s="17">
        <v>20.39</v>
      </c>
      <c r="G418" s="17"/>
      <c r="H418" s="16">
        <v>146.4</v>
      </c>
      <c r="I418" s="17"/>
      <c r="J418" s="17">
        <v>20.39</v>
      </c>
      <c r="K418" s="17"/>
      <c r="L418" s="17">
        <v>145.95</v>
      </c>
      <c r="M418" s="22"/>
      <c r="N418" s="17">
        <v>20.39</v>
      </c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2918.5</v>
      </c>
      <c r="F419" s="17"/>
      <c r="G419" s="17">
        <v>440.25</v>
      </c>
      <c r="H419" s="16"/>
      <c r="I419" s="17">
        <v>2918.5</v>
      </c>
      <c r="J419" s="17"/>
      <c r="K419" s="17">
        <v>440.25</v>
      </c>
      <c r="L419" s="17"/>
      <c r="M419" s="22">
        <v>2911.63</v>
      </c>
      <c r="N419" s="17"/>
      <c r="O419" s="22">
        <v>440.25</v>
      </c>
      <c r="P419" s="19">
        <f>I419+K419-M419-O419</f>
        <v>6.86999999999989</v>
      </c>
    </row>
    <row r="420" ht="12" customHeight="1" spans="1:16">
      <c r="A420" s="14">
        <v>206</v>
      </c>
      <c r="B420" s="15" t="s">
        <v>221</v>
      </c>
      <c r="C420" s="18"/>
      <c r="D420" s="16">
        <v>87.08</v>
      </c>
      <c r="E420" s="17"/>
      <c r="F420" s="17">
        <v>14.83</v>
      </c>
      <c r="G420" s="17"/>
      <c r="H420" s="16">
        <v>87.08</v>
      </c>
      <c r="I420" s="17"/>
      <c r="J420" s="17">
        <v>14.83</v>
      </c>
      <c r="K420" s="17"/>
      <c r="L420" s="17">
        <v>86.98</v>
      </c>
      <c r="M420" s="22"/>
      <c r="N420" s="17">
        <v>14.83</v>
      </c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1612</v>
      </c>
      <c r="F421" s="17"/>
      <c r="G421" s="17">
        <v>271.25</v>
      </c>
      <c r="H421" s="16"/>
      <c r="I421" s="17">
        <v>1612</v>
      </c>
      <c r="J421" s="17"/>
      <c r="K421" s="17">
        <v>271.25</v>
      </c>
      <c r="L421" s="17"/>
      <c r="M421" s="22">
        <v>1610.5</v>
      </c>
      <c r="N421" s="17"/>
      <c r="O421" s="22">
        <v>271.25</v>
      </c>
      <c r="P421" s="19">
        <f>I421+K421-M421-O421</f>
        <v>1.5</v>
      </c>
    </row>
    <row r="422" ht="12" customHeight="1" spans="1:16">
      <c r="A422" s="14">
        <v>207</v>
      </c>
      <c r="B422" s="15" t="s">
        <v>222</v>
      </c>
      <c r="C422" s="18"/>
      <c r="D422" s="16">
        <v>41.88</v>
      </c>
      <c r="E422" s="17"/>
      <c r="F422" s="17">
        <v>6.87</v>
      </c>
      <c r="G422" s="17"/>
      <c r="H422" s="16">
        <v>41.88</v>
      </c>
      <c r="I422" s="17"/>
      <c r="J422" s="17">
        <v>6.87</v>
      </c>
      <c r="K422" s="17"/>
      <c r="L422" s="17">
        <v>41.86</v>
      </c>
      <c r="M422" s="22"/>
      <c r="N422" s="17">
        <v>6.87</v>
      </c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523.5</v>
      </c>
      <c r="F423" s="17"/>
      <c r="G423" s="17">
        <v>85.88</v>
      </c>
      <c r="H423" s="16"/>
      <c r="I423" s="17">
        <v>523.5</v>
      </c>
      <c r="J423" s="17"/>
      <c r="K423" s="17">
        <v>85.88</v>
      </c>
      <c r="L423" s="17"/>
      <c r="M423" s="22">
        <v>523.25</v>
      </c>
      <c r="N423" s="17"/>
      <c r="O423" s="22">
        <v>85.88</v>
      </c>
      <c r="P423" s="19">
        <f>I423+K423-M423-O423</f>
        <v>0.25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>
        <v>0</v>
      </c>
      <c r="I424" s="17"/>
      <c r="J424" s="17">
        <v>0</v>
      </c>
      <c r="K424" s="17"/>
      <c r="L424" s="17">
        <v>0</v>
      </c>
      <c r="M424" s="22"/>
      <c r="N424" s="17">
        <v>0</v>
      </c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0</v>
      </c>
      <c r="F425" s="17"/>
      <c r="G425" s="17">
        <v>0</v>
      </c>
      <c r="H425" s="16"/>
      <c r="I425" s="17">
        <v>0</v>
      </c>
      <c r="J425" s="17"/>
      <c r="K425" s="17">
        <v>0</v>
      </c>
      <c r="L425" s="17"/>
      <c r="M425" s="22">
        <v>0</v>
      </c>
      <c r="N425" s="17"/>
      <c r="O425" s="22">
        <v>0</v>
      </c>
      <c r="P425" s="19">
        <f>I425+K425-M425-O425</f>
        <v>0</v>
      </c>
    </row>
    <row r="426" ht="12" customHeight="1" spans="1:16">
      <c r="A426" s="14">
        <v>209</v>
      </c>
      <c r="B426" s="15" t="s">
        <v>224</v>
      </c>
      <c r="C426" s="18"/>
      <c r="D426" s="16">
        <v>0</v>
      </c>
      <c r="E426" s="17"/>
      <c r="F426" s="17">
        <v>0</v>
      </c>
      <c r="G426" s="17"/>
      <c r="H426" s="16">
        <v>0</v>
      </c>
      <c r="I426" s="17"/>
      <c r="J426" s="17">
        <v>0</v>
      </c>
      <c r="K426" s="17"/>
      <c r="L426" s="17">
        <v>0</v>
      </c>
      <c r="M426" s="22"/>
      <c r="N426" s="17">
        <v>0</v>
      </c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0</v>
      </c>
      <c r="F427" s="17"/>
      <c r="G427" s="17">
        <v>0</v>
      </c>
      <c r="H427" s="16"/>
      <c r="I427" s="17">
        <v>0</v>
      </c>
      <c r="J427" s="17"/>
      <c r="K427" s="17">
        <v>0</v>
      </c>
      <c r="L427" s="17"/>
      <c r="M427" s="22">
        <v>0</v>
      </c>
      <c r="N427" s="17"/>
      <c r="O427" s="22">
        <v>0</v>
      </c>
      <c r="P427" s="19">
        <f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0</v>
      </c>
      <c r="E428" s="17"/>
      <c r="F428" s="17">
        <v>0</v>
      </c>
      <c r="G428" s="17"/>
      <c r="H428" s="16">
        <v>0</v>
      </c>
      <c r="I428" s="17"/>
      <c r="J428" s="17">
        <v>0</v>
      </c>
      <c r="K428" s="17"/>
      <c r="L428" s="17">
        <v>0</v>
      </c>
      <c r="M428" s="22"/>
      <c r="N428" s="17">
        <v>0</v>
      </c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0</v>
      </c>
      <c r="F429" s="17"/>
      <c r="G429" s="17">
        <v>0</v>
      </c>
      <c r="H429" s="16"/>
      <c r="I429" s="17">
        <v>0</v>
      </c>
      <c r="J429" s="17"/>
      <c r="K429" s="17">
        <v>0</v>
      </c>
      <c r="L429" s="17"/>
      <c r="M429" s="22">
        <v>0</v>
      </c>
      <c r="N429" s="17"/>
      <c r="O429" s="22">
        <v>0</v>
      </c>
      <c r="P429" s="19">
        <f>I429+K429-M429-O429</f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>
        <v>0</v>
      </c>
      <c r="I430" s="17"/>
      <c r="J430" s="17">
        <v>0</v>
      </c>
      <c r="K430" s="17"/>
      <c r="L430" s="17">
        <v>0</v>
      </c>
      <c r="M430" s="22"/>
      <c r="N430" s="17">
        <v>0</v>
      </c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>
        <v>0</v>
      </c>
      <c r="J431" s="17"/>
      <c r="K431" s="17">
        <v>0</v>
      </c>
      <c r="L431" s="17"/>
      <c r="M431" s="22">
        <v>0</v>
      </c>
      <c r="N431" s="17"/>
      <c r="O431" s="22">
        <v>0</v>
      </c>
      <c r="P431" s="19">
        <f>I431+K431-M431-O431</f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>
        <v>0</v>
      </c>
      <c r="I432" s="17"/>
      <c r="J432" s="17">
        <v>0</v>
      </c>
      <c r="K432" s="17"/>
      <c r="L432" s="17">
        <v>0</v>
      </c>
      <c r="M432" s="22"/>
      <c r="N432" s="17">
        <v>0</v>
      </c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>
        <v>0</v>
      </c>
      <c r="J433" s="17"/>
      <c r="K433" s="17">
        <v>0</v>
      </c>
      <c r="L433" s="17"/>
      <c r="M433" s="22">
        <v>0</v>
      </c>
      <c r="N433" s="17"/>
      <c r="O433" s="22">
        <v>0</v>
      </c>
      <c r="P433" s="19">
        <f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>
        <v>0</v>
      </c>
      <c r="I434" s="17"/>
      <c r="J434" s="17">
        <v>0</v>
      </c>
      <c r="K434" s="17"/>
      <c r="L434" s="17">
        <v>0</v>
      </c>
      <c r="M434" s="22"/>
      <c r="N434" s="17">
        <v>0</v>
      </c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>
        <v>0</v>
      </c>
      <c r="J435" s="17"/>
      <c r="K435" s="17">
        <v>0</v>
      </c>
      <c r="L435" s="17"/>
      <c r="M435" s="22">
        <v>0</v>
      </c>
      <c r="N435" s="17"/>
      <c r="O435" s="22">
        <v>0</v>
      </c>
      <c r="P435" s="19">
        <f>I435+K435-M435-O435</f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>
        <v>0</v>
      </c>
      <c r="I436" s="17"/>
      <c r="J436" s="17">
        <v>0</v>
      </c>
      <c r="K436" s="17"/>
      <c r="L436" s="17">
        <v>0</v>
      </c>
      <c r="M436" s="22"/>
      <c r="N436" s="17">
        <v>0</v>
      </c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>
        <v>0</v>
      </c>
      <c r="J437" s="17"/>
      <c r="K437" s="17">
        <v>0</v>
      </c>
      <c r="L437" s="17"/>
      <c r="M437" s="22">
        <v>0</v>
      </c>
      <c r="N437" s="17"/>
      <c r="O437" s="22">
        <v>0</v>
      </c>
      <c r="P437" s="19">
        <f>I437+K437-M437-O437</f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>
        <v>0</v>
      </c>
      <c r="I438" s="17"/>
      <c r="J438" s="17">
        <v>0</v>
      </c>
      <c r="K438" s="17"/>
      <c r="L438" s="17">
        <v>0</v>
      </c>
      <c r="M438" s="22"/>
      <c r="N438" s="17">
        <v>0</v>
      </c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>
        <v>0</v>
      </c>
      <c r="J439" s="17"/>
      <c r="K439" s="17">
        <v>0</v>
      </c>
      <c r="L439" s="17"/>
      <c r="M439" s="22">
        <v>0</v>
      </c>
      <c r="N439" s="17"/>
      <c r="O439" s="22">
        <v>0</v>
      </c>
      <c r="P439" s="19">
        <f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>
        <v>0</v>
      </c>
      <c r="I440" s="17"/>
      <c r="J440" s="17">
        <v>0</v>
      </c>
      <c r="K440" s="17"/>
      <c r="L440" s="17">
        <v>0</v>
      </c>
      <c r="M440" s="22"/>
      <c r="N440" s="17">
        <v>0</v>
      </c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>
        <v>0</v>
      </c>
      <c r="J441" s="17"/>
      <c r="K441" s="17">
        <v>0</v>
      </c>
      <c r="L441" s="17"/>
      <c r="M441" s="22">
        <v>0</v>
      </c>
      <c r="N441" s="17"/>
      <c r="O441" s="22">
        <v>0</v>
      </c>
      <c r="P441" s="19">
        <f>I441+K441-M441-O441</f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>
        <v>0</v>
      </c>
      <c r="I442" s="17"/>
      <c r="J442" s="17">
        <v>0</v>
      </c>
      <c r="K442" s="17"/>
      <c r="L442" s="17">
        <v>0</v>
      </c>
      <c r="M442" s="22"/>
      <c r="N442" s="17">
        <v>0</v>
      </c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676.13</v>
      </c>
      <c r="F443" s="17"/>
      <c r="G443" s="17">
        <v>147.25</v>
      </c>
      <c r="H443" s="16"/>
      <c r="I443" s="17">
        <v>676.13</v>
      </c>
      <c r="J443" s="17"/>
      <c r="K443" s="17">
        <v>147.25</v>
      </c>
      <c r="L443" s="17"/>
      <c r="M443" s="22">
        <v>656.13</v>
      </c>
      <c r="N443" s="17"/>
      <c r="O443" s="22">
        <v>147.25</v>
      </c>
      <c r="P443" s="19">
        <f>I443+K443-M443-O443</f>
        <v>20</v>
      </c>
    </row>
    <row r="444" ht="12" customHeight="1" spans="1:16">
      <c r="A444" s="14">
        <v>218</v>
      </c>
      <c r="B444" s="15" t="s">
        <v>233</v>
      </c>
      <c r="C444" s="18"/>
      <c r="D444" s="16">
        <v>54.09</v>
      </c>
      <c r="E444" s="17"/>
      <c r="F444" s="17">
        <v>11.78</v>
      </c>
      <c r="G444" s="17"/>
      <c r="H444" s="16">
        <v>54.09</v>
      </c>
      <c r="I444" s="17"/>
      <c r="J444" s="17">
        <v>11.78</v>
      </c>
      <c r="K444" s="17"/>
      <c r="L444" s="17">
        <v>52.49</v>
      </c>
      <c r="M444" s="22"/>
      <c r="N444" s="17">
        <v>11.78</v>
      </c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2102.38</v>
      </c>
      <c r="F445" s="17"/>
      <c r="G445" s="17">
        <v>456.13</v>
      </c>
      <c r="H445" s="16"/>
      <c r="I445" s="17">
        <v>2102.38</v>
      </c>
      <c r="J445" s="17"/>
      <c r="K445" s="17">
        <v>456.13</v>
      </c>
      <c r="L445" s="17"/>
      <c r="M445" s="22">
        <v>2068.88</v>
      </c>
      <c r="N445" s="17"/>
      <c r="O445" s="22">
        <v>456.13</v>
      </c>
      <c r="P445" s="19">
        <f>I445+K445-M445-O445</f>
        <v>33.5000000000001</v>
      </c>
    </row>
    <row r="446" ht="12" customHeight="1" spans="1:16">
      <c r="A446" s="14">
        <v>219</v>
      </c>
      <c r="B446" s="15" t="s">
        <v>234</v>
      </c>
      <c r="C446" s="18"/>
      <c r="D446" s="16">
        <v>114.1</v>
      </c>
      <c r="E446" s="17"/>
      <c r="F446" s="17">
        <v>24.71</v>
      </c>
      <c r="G446" s="17"/>
      <c r="H446" s="16">
        <v>114.1</v>
      </c>
      <c r="I446" s="17"/>
      <c r="J446" s="17">
        <v>24.71</v>
      </c>
      <c r="K446" s="17"/>
      <c r="L446" s="17">
        <v>113.02</v>
      </c>
      <c r="M446" s="22"/>
      <c r="N446" s="17">
        <v>24.71</v>
      </c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3700.13</v>
      </c>
      <c r="F447" s="17"/>
      <c r="G447" s="17">
        <v>900.13</v>
      </c>
      <c r="H447" s="16"/>
      <c r="I447" s="17">
        <v>3700.13</v>
      </c>
      <c r="J447" s="17"/>
      <c r="K447" s="17">
        <v>900.13</v>
      </c>
      <c r="L447" s="17"/>
      <c r="M447" s="22">
        <v>3674.63</v>
      </c>
      <c r="N447" s="17"/>
      <c r="O447" s="22">
        <v>900.13</v>
      </c>
      <c r="P447" s="19">
        <f>I447+K447-M447-O447</f>
        <v>25.5000000000001</v>
      </c>
    </row>
    <row r="448" ht="12" customHeight="1" spans="1:16">
      <c r="A448" s="14">
        <v>220</v>
      </c>
      <c r="B448" s="15" t="s">
        <v>235</v>
      </c>
      <c r="C448" s="25"/>
      <c r="D448" s="16">
        <v>181.91</v>
      </c>
      <c r="E448" s="17"/>
      <c r="F448" s="17">
        <v>47.3</v>
      </c>
      <c r="G448" s="17"/>
      <c r="H448" s="16">
        <v>181.91</v>
      </c>
      <c r="I448" s="17"/>
      <c r="J448" s="17">
        <v>47.3</v>
      </c>
      <c r="K448" s="17"/>
      <c r="L448" s="17">
        <v>180.95</v>
      </c>
      <c r="M448" s="22"/>
      <c r="N448" s="17">
        <v>47.3</v>
      </c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4604.25</v>
      </c>
      <c r="F449" s="17"/>
      <c r="G449" s="17">
        <v>1189.88</v>
      </c>
      <c r="H449" s="16"/>
      <c r="I449" s="17">
        <v>4604.25</v>
      </c>
      <c r="J449" s="17"/>
      <c r="K449" s="17">
        <v>1189.88</v>
      </c>
      <c r="L449" s="17"/>
      <c r="M449" s="22">
        <v>4584.13</v>
      </c>
      <c r="N449" s="17"/>
      <c r="O449" s="22">
        <v>1189.88</v>
      </c>
      <c r="P449" s="19">
        <f>I449+K449-M449-O449</f>
        <v>20.1199999999999</v>
      </c>
    </row>
    <row r="450" ht="12" customHeight="1" spans="1:16">
      <c r="A450" s="14">
        <v>221</v>
      </c>
      <c r="B450" s="15" t="s">
        <v>236</v>
      </c>
      <c r="C450" s="18"/>
      <c r="D450" s="16">
        <v>186.43</v>
      </c>
      <c r="E450" s="17"/>
      <c r="F450" s="17">
        <v>47.89</v>
      </c>
      <c r="G450" s="17"/>
      <c r="H450" s="16">
        <v>186.43</v>
      </c>
      <c r="I450" s="17"/>
      <c r="J450" s="17">
        <v>47.89</v>
      </c>
      <c r="K450" s="17"/>
      <c r="L450" s="17">
        <v>185.78</v>
      </c>
      <c r="M450" s="22"/>
      <c r="N450" s="17">
        <v>47.89</v>
      </c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5159.25</v>
      </c>
      <c r="F451" s="17"/>
      <c r="G451" s="17">
        <v>1214.63</v>
      </c>
      <c r="H451" s="16"/>
      <c r="I451" s="17">
        <v>5159.25</v>
      </c>
      <c r="J451" s="17"/>
      <c r="K451" s="17">
        <v>1214.63</v>
      </c>
      <c r="L451" s="17"/>
      <c r="M451" s="22">
        <v>5127.63</v>
      </c>
      <c r="N451" s="17"/>
      <c r="O451" s="22">
        <v>1214.63</v>
      </c>
      <c r="P451" s="19">
        <f>I451+K451-M451-O451</f>
        <v>31.6199999999999</v>
      </c>
    </row>
    <row r="452" ht="12" customHeight="1" spans="1:16">
      <c r="A452" s="14">
        <v>222</v>
      </c>
      <c r="B452" s="15" t="s">
        <v>237</v>
      </c>
      <c r="C452" s="18"/>
      <c r="D452" s="16">
        <v>226.31</v>
      </c>
      <c r="E452" s="17"/>
      <c r="F452" s="17">
        <v>49.28</v>
      </c>
      <c r="G452" s="17"/>
      <c r="H452" s="16">
        <v>226.31</v>
      </c>
      <c r="I452" s="17"/>
      <c r="J452" s="17">
        <v>49.28</v>
      </c>
      <c r="K452" s="17"/>
      <c r="L452" s="17">
        <v>224.43</v>
      </c>
      <c r="M452" s="22"/>
      <c r="N452" s="17">
        <v>49.28</v>
      </c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5696.63</v>
      </c>
      <c r="F453" s="17"/>
      <c r="G453" s="17">
        <v>1240.88</v>
      </c>
      <c r="H453" s="16"/>
      <c r="I453" s="17">
        <v>5696.63</v>
      </c>
      <c r="J453" s="17"/>
      <c r="K453" s="17">
        <v>1240.88</v>
      </c>
      <c r="L453" s="17"/>
      <c r="M453" s="22">
        <v>5625.13</v>
      </c>
      <c r="N453" s="17"/>
      <c r="O453" s="22">
        <v>1240.88</v>
      </c>
      <c r="P453" s="19">
        <f>I453+K453-M453-O453</f>
        <v>71.5</v>
      </c>
    </row>
    <row r="454" ht="12" customHeight="1" spans="1:16">
      <c r="A454" s="14">
        <v>223</v>
      </c>
      <c r="B454" s="15" t="s">
        <v>238</v>
      </c>
      <c r="C454" s="25"/>
      <c r="D454" s="16">
        <v>229.42</v>
      </c>
      <c r="E454" s="17"/>
      <c r="F454" s="17">
        <v>49.99</v>
      </c>
      <c r="G454" s="17"/>
      <c r="H454" s="16">
        <v>229.42</v>
      </c>
      <c r="I454" s="17"/>
      <c r="J454" s="17">
        <v>49.99</v>
      </c>
      <c r="K454" s="17"/>
      <c r="L454" s="17">
        <v>225.58</v>
      </c>
      <c r="M454" s="22"/>
      <c r="N454" s="17">
        <v>49.99</v>
      </c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5548.13</v>
      </c>
      <c r="F455" s="17"/>
      <c r="G455" s="17">
        <v>1219</v>
      </c>
      <c r="H455" s="16"/>
      <c r="I455" s="17">
        <v>5548.13</v>
      </c>
      <c r="J455" s="17"/>
      <c r="K455" s="17">
        <v>1219</v>
      </c>
      <c r="L455" s="17"/>
      <c r="M455" s="22">
        <v>5488.75</v>
      </c>
      <c r="N455" s="17"/>
      <c r="O455" s="22">
        <v>1219</v>
      </c>
      <c r="P455" s="19">
        <f>I455+K455-M455-O455</f>
        <v>59.3800000000001</v>
      </c>
    </row>
    <row r="456" ht="12" customHeight="1" spans="1:16">
      <c r="A456" s="14">
        <v>224</v>
      </c>
      <c r="B456" s="15" t="s">
        <v>239</v>
      </c>
      <c r="C456" s="18"/>
      <c r="D456" s="16">
        <v>214.43</v>
      </c>
      <c r="E456" s="17"/>
      <c r="F456" s="17">
        <v>47.53</v>
      </c>
      <c r="G456" s="17"/>
      <c r="H456" s="16">
        <v>214.43</v>
      </c>
      <c r="I456" s="17"/>
      <c r="J456" s="17">
        <v>47.53</v>
      </c>
      <c r="K456" s="17"/>
      <c r="L456" s="17">
        <v>213.52</v>
      </c>
      <c r="M456" s="22"/>
      <c r="N456" s="17">
        <v>47.53</v>
      </c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5291.75</v>
      </c>
      <c r="F457" s="17"/>
      <c r="G457" s="17">
        <v>1153.38</v>
      </c>
      <c r="H457" s="16"/>
      <c r="I457" s="17">
        <v>5291.75</v>
      </c>
      <c r="J457" s="17"/>
      <c r="K457" s="17">
        <v>1153.38</v>
      </c>
      <c r="L457" s="17"/>
      <c r="M457" s="22">
        <v>4235.88</v>
      </c>
      <c r="N457" s="17"/>
      <c r="O457" s="22">
        <v>1153.38</v>
      </c>
      <c r="P457" s="19">
        <f>I457+K457-M457-O457</f>
        <v>1055.87</v>
      </c>
    </row>
    <row r="458" ht="12" customHeight="1" spans="1:16">
      <c r="A458" s="14">
        <v>225</v>
      </c>
      <c r="B458" s="15" t="s">
        <v>240</v>
      </c>
      <c r="C458" s="18"/>
      <c r="D458" s="16">
        <v>208.91</v>
      </c>
      <c r="E458" s="17"/>
      <c r="F458" s="17">
        <v>44.74</v>
      </c>
      <c r="G458" s="17"/>
      <c r="H458" s="16">
        <v>208.91</v>
      </c>
      <c r="I458" s="17"/>
      <c r="J458" s="17">
        <v>44.74</v>
      </c>
      <c r="K458" s="17"/>
      <c r="L458" s="17">
        <v>125.35</v>
      </c>
      <c r="M458" s="22"/>
      <c r="N458" s="17">
        <v>44.74</v>
      </c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4855.75</v>
      </c>
      <c r="F459" s="17"/>
      <c r="G459" s="17">
        <v>1102.88</v>
      </c>
      <c r="H459" s="16"/>
      <c r="I459" s="17">
        <v>4855.75</v>
      </c>
      <c r="J459" s="17"/>
      <c r="K459" s="17">
        <v>1102.88</v>
      </c>
      <c r="L459" s="17"/>
      <c r="M459" s="22">
        <v>2913.5</v>
      </c>
      <c r="N459" s="17"/>
      <c r="O459" s="22">
        <v>1102.88</v>
      </c>
      <c r="P459" s="19">
        <f>I459+K459-M459-O459</f>
        <v>1942.25</v>
      </c>
    </row>
    <row r="460" ht="12" customHeight="1" spans="1:16">
      <c r="A460" s="14">
        <v>226</v>
      </c>
      <c r="B460" s="15" t="s">
        <v>241</v>
      </c>
      <c r="C460" s="25"/>
      <c r="D460" s="16">
        <v>179.55</v>
      </c>
      <c r="E460" s="17"/>
      <c r="F460" s="17">
        <v>43.49</v>
      </c>
      <c r="G460" s="17"/>
      <c r="H460" s="16">
        <v>179.55</v>
      </c>
      <c r="I460" s="17"/>
      <c r="J460" s="17">
        <v>43.49</v>
      </c>
      <c r="K460" s="17"/>
      <c r="L460" s="17">
        <v>107.73</v>
      </c>
      <c r="M460" s="22"/>
      <c r="N460" s="17">
        <v>43.49</v>
      </c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3066</v>
      </c>
      <c r="F461" s="17"/>
      <c r="G461" s="17">
        <v>756.5</v>
      </c>
      <c r="H461" s="16"/>
      <c r="I461" s="17">
        <v>3066</v>
      </c>
      <c r="J461" s="17"/>
      <c r="K461" s="17">
        <v>756.5</v>
      </c>
      <c r="L461" s="17"/>
      <c r="M461" s="22">
        <v>1839.63</v>
      </c>
      <c r="N461" s="17"/>
      <c r="O461" s="22">
        <v>756.5</v>
      </c>
      <c r="P461" s="19">
        <f>I461+K461-M461-O461</f>
        <v>1226.37</v>
      </c>
    </row>
    <row r="462" ht="12" customHeight="1" spans="1:16">
      <c r="A462" s="14">
        <v>227</v>
      </c>
      <c r="B462" s="15" t="s">
        <v>242</v>
      </c>
      <c r="C462" s="18"/>
      <c r="D462" s="16">
        <v>65.73</v>
      </c>
      <c r="E462" s="17"/>
      <c r="F462" s="17">
        <v>17.03</v>
      </c>
      <c r="G462" s="17"/>
      <c r="H462" s="16">
        <v>65.73</v>
      </c>
      <c r="I462" s="17"/>
      <c r="J462" s="17">
        <v>17.03</v>
      </c>
      <c r="K462" s="17"/>
      <c r="L462" s="17">
        <v>39.44</v>
      </c>
      <c r="M462" s="22"/>
      <c r="N462" s="17">
        <v>17.03</v>
      </c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821.63</v>
      </c>
      <c r="F463" s="17"/>
      <c r="G463" s="17">
        <v>212.88</v>
      </c>
      <c r="H463" s="16"/>
      <c r="I463" s="17">
        <v>821.63</v>
      </c>
      <c r="J463" s="17"/>
      <c r="K463" s="17">
        <v>212.88</v>
      </c>
      <c r="L463" s="17"/>
      <c r="M463" s="22">
        <v>493</v>
      </c>
      <c r="N463" s="17"/>
      <c r="O463" s="22">
        <v>212.88</v>
      </c>
      <c r="P463" s="19">
        <f>I463+K463-M463-O463</f>
        <v>328.63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>
        <v>0</v>
      </c>
      <c r="I464" s="17"/>
      <c r="J464" s="17">
        <v>0</v>
      </c>
      <c r="K464" s="17"/>
      <c r="L464" s="17">
        <v>0</v>
      </c>
      <c r="M464" s="22"/>
      <c r="N464" s="17">
        <v>0</v>
      </c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>
        <v>0</v>
      </c>
      <c r="J465" s="17"/>
      <c r="K465" s="17">
        <v>0</v>
      </c>
      <c r="L465" s="17"/>
      <c r="M465" s="22">
        <v>0</v>
      </c>
      <c r="N465" s="17"/>
      <c r="O465" s="22">
        <v>0</v>
      </c>
      <c r="P465" s="19">
        <f>I465+K465-M465-O465</f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>
        <v>0</v>
      </c>
      <c r="I466" s="17"/>
      <c r="J466" s="17">
        <v>0</v>
      </c>
      <c r="K466" s="17"/>
      <c r="L466" s="17">
        <v>0</v>
      </c>
      <c r="M466" s="22"/>
      <c r="N466" s="17">
        <v>0</v>
      </c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>
        <v>0</v>
      </c>
      <c r="J467" s="17"/>
      <c r="K467" s="17">
        <v>0</v>
      </c>
      <c r="L467" s="17"/>
      <c r="M467" s="22">
        <v>0</v>
      </c>
      <c r="N467" s="17"/>
      <c r="O467" s="22">
        <v>0</v>
      </c>
      <c r="P467" s="19">
        <f>I467+K467-M467-O467</f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>
        <v>0</v>
      </c>
      <c r="I468" s="17"/>
      <c r="J468" s="17">
        <v>0</v>
      </c>
      <c r="K468" s="17"/>
      <c r="L468" s="17">
        <v>0</v>
      </c>
      <c r="M468" s="22"/>
      <c r="N468" s="17">
        <v>0</v>
      </c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>
        <v>0</v>
      </c>
      <c r="J469" s="17"/>
      <c r="K469" s="17">
        <v>0</v>
      </c>
      <c r="L469" s="17"/>
      <c r="M469" s="22">
        <v>0</v>
      </c>
      <c r="N469" s="17"/>
      <c r="O469" s="22">
        <v>0</v>
      </c>
      <c r="P469" s="19">
        <f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>
        <v>0</v>
      </c>
      <c r="I470" s="17"/>
      <c r="J470" s="17">
        <v>0</v>
      </c>
      <c r="K470" s="17"/>
      <c r="L470" s="17">
        <v>0</v>
      </c>
      <c r="M470" s="22"/>
      <c r="N470" s="17">
        <v>0</v>
      </c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>
        <v>0</v>
      </c>
      <c r="J471" s="17"/>
      <c r="K471" s="17">
        <v>0</v>
      </c>
      <c r="L471" s="17"/>
      <c r="M471" s="22">
        <v>0</v>
      </c>
      <c r="N471" s="17"/>
      <c r="O471" s="22">
        <v>0</v>
      </c>
      <c r="P471" s="19">
        <f>I471+K471-M471-O471</f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>
        <v>0</v>
      </c>
      <c r="I472" s="17"/>
      <c r="J472" s="17">
        <v>0</v>
      </c>
      <c r="K472" s="17"/>
      <c r="L472" s="17">
        <v>0</v>
      </c>
      <c r="M472" s="22"/>
      <c r="N472" s="17">
        <v>0</v>
      </c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>
        <v>0</v>
      </c>
      <c r="J473" s="17"/>
      <c r="K473" s="17">
        <v>0</v>
      </c>
      <c r="L473" s="17"/>
      <c r="M473" s="22">
        <v>0</v>
      </c>
      <c r="N473" s="17"/>
      <c r="O473" s="22">
        <v>0</v>
      </c>
      <c r="P473" s="19">
        <f>I473+K473-M473-O473</f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>
        <v>0</v>
      </c>
      <c r="I474" s="17"/>
      <c r="J474" s="17">
        <v>0</v>
      </c>
      <c r="K474" s="17"/>
      <c r="L474" s="17">
        <v>0</v>
      </c>
      <c r="M474" s="22"/>
      <c r="N474" s="17">
        <v>0</v>
      </c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>
        <v>0</v>
      </c>
      <c r="J475" s="17"/>
      <c r="K475" s="17">
        <v>0</v>
      </c>
      <c r="L475" s="17"/>
      <c r="M475" s="22">
        <v>0</v>
      </c>
      <c r="N475" s="17"/>
      <c r="O475" s="22">
        <v>0</v>
      </c>
      <c r="P475" s="19">
        <f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>
        <v>0</v>
      </c>
      <c r="I476" s="17"/>
      <c r="J476" s="17">
        <v>0</v>
      </c>
      <c r="K476" s="17"/>
      <c r="L476" s="17">
        <v>0</v>
      </c>
      <c r="M476" s="22"/>
      <c r="N476" s="17">
        <v>0</v>
      </c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0</v>
      </c>
      <c r="F477" s="17"/>
      <c r="G477" s="17">
        <v>0</v>
      </c>
      <c r="H477" s="16"/>
      <c r="I477" s="17">
        <v>0</v>
      </c>
      <c r="J477" s="17"/>
      <c r="K477" s="17">
        <v>0</v>
      </c>
      <c r="L477" s="17"/>
      <c r="M477" s="22">
        <v>0</v>
      </c>
      <c r="N477" s="17"/>
      <c r="O477" s="22">
        <v>0</v>
      </c>
      <c r="P477" s="19">
        <f>I477+K477-M477-O477</f>
        <v>0</v>
      </c>
    </row>
    <row r="478" ht="12" customHeight="1" spans="1:16">
      <c r="A478" s="14">
        <v>235</v>
      </c>
      <c r="B478" s="15" t="s">
        <v>250</v>
      </c>
      <c r="C478" s="25"/>
      <c r="D478" s="16">
        <v>0</v>
      </c>
      <c r="E478" s="17"/>
      <c r="F478" s="17">
        <v>0</v>
      </c>
      <c r="G478" s="17"/>
      <c r="H478" s="16">
        <v>0</v>
      </c>
      <c r="I478" s="17"/>
      <c r="J478" s="17">
        <v>0</v>
      </c>
      <c r="K478" s="17"/>
      <c r="L478" s="17">
        <v>0</v>
      </c>
      <c r="M478" s="22"/>
      <c r="N478" s="17">
        <v>0</v>
      </c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0</v>
      </c>
      <c r="F479" s="17"/>
      <c r="G479" s="17">
        <v>0</v>
      </c>
      <c r="H479" s="16"/>
      <c r="I479" s="17">
        <v>0</v>
      </c>
      <c r="J479" s="17"/>
      <c r="K479" s="17">
        <v>0</v>
      </c>
      <c r="L479" s="17"/>
      <c r="M479" s="22">
        <v>0</v>
      </c>
      <c r="N479" s="17"/>
      <c r="O479" s="22">
        <v>0</v>
      </c>
      <c r="P479" s="19">
        <f>I479+K479-M479-O479</f>
        <v>0</v>
      </c>
    </row>
    <row r="480" ht="12" customHeight="1" spans="1:16">
      <c r="A480" s="14">
        <v>236</v>
      </c>
      <c r="B480" s="15" t="s">
        <v>251</v>
      </c>
      <c r="C480" s="18"/>
      <c r="D480" s="16">
        <v>0</v>
      </c>
      <c r="E480" s="17"/>
      <c r="F480" s="17">
        <v>0</v>
      </c>
      <c r="G480" s="17"/>
      <c r="H480" s="16">
        <v>0</v>
      </c>
      <c r="I480" s="17"/>
      <c r="J480" s="17">
        <v>0</v>
      </c>
      <c r="K480" s="17"/>
      <c r="L480" s="17">
        <v>0</v>
      </c>
      <c r="M480" s="22"/>
      <c r="N480" s="17">
        <v>0</v>
      </c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0</v>
      </c>
      <c r="F481" s="17"/>
      <c r="G481" s="24">
        <v>0</v>
      </c>
      <c r="H481" s="16"/>
      <c r="I481" s="24">
        <v>0</v>
      </c>
      <c r="J481" s="17"/>
      <c r="K481" s="24">
        <v>0</v>
      </c>
      <c r="L481" s="17"/>
      <c r="M481" s="24">
        <v>0</v>
      </c>
      <c r="N481" s="17"/>
      <c r="O481" s="24">
        <v>0</v>
      </c>
      <c r="P481" s="19">
        <f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0</v>
      </c>
      <c r="E482" s="26"/>
      <c r="F482" s="17">
        <v>0</v>
      </c>
      <c r="G482" s="26"/>
      <c r="H482" s="16">
        <v>0</v>
      </c>
      <c r="I482" s="26"/>
      <c r="J482" s="17">
        <v>0</v>
      </c>
      <c r="K482" s="26"/>
      <c r="L482" s="17">
        <v>0</v>
      </c>
      <c r="M482" s="26"/>
      <c r="N482" s="17">
        <v>0</v>
      </c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0</v>
      </c>
      <c r="F483" s="17"/>
      <c r="G483" s="17">
        <v>0</v>
      </c>
      <c r="H483" s="16"/>
      <c r="I483" s="17">
        <v>0</v>
      </c>
      <c r="J483" s="17"/>
      <c r="K483" s="17">
        <v>0</v>
      </c>
      <c r="L483" s="17"/>
      <c r="M483" s="22">
        <v>0</v>
      </c>
      <c r="N483" s="17"/>
      <c r="O483" s="22">
        <v>0</v>
      </c>
      <c r="P483" s="19">
        <f>I483+K483-M483-O483</f>
        <v>0</v>
      </c>
    </row>
    <row r="484" ht="12" customHeight="1" spans="1:16">
      <c r="A484" s="14">
        <v>238</v>
      </c>
      <c r="B484" s="15" t="s">
        <v>253</v>
      </c>
      <c r="C484" s="25"/>
      <c r="D484" s="16">
        <v>0</v>
      </c>
      <c r="E484" s="17"/>
      <c r="F484" s="17">
        <v>0</v>
      </c>
      <c r="G484" s="17"/>
      <c r="H484" s="16">
        <v>0</v>
      </c>
      <c r="I484" s="17"/>
      <c r="J484" s="17">
        <v>0</v>
      </c>
      <c r="K484" s="17"/>
      <c r="L484" s="17">
        <v>0</v>
      </c>
      <c r="M484" s="22"/>
      <c r="N484" s="17">
        <v>0</v>
      </c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0</v>
      </c>
      <c r="F485" s="17"/>
      <c r="G485" s="17">
        <v>0</v>
      </c>
      <c r="H485" s="16"/>
      <c r="I485" s="17">
        <v>0</v>
      </c>
      <c r="J485" s="17"/>
      <c r="K485" s="17">
        <v>0</v>
      </c>
      <c r="L485" s="17"/>
      <c r="M485" s="22">
        <v>0</v>
      </c>
      <c r="N485" s="17"/>
      <c r="O485" s="22">
        <v>0</v>
      </c>
      <c r="P485" s="19">
        <f>I485+K485-M485-O485</f>
        <v>0</v>
      </c>
    </row>
    <row r="486" ht="12" customHeight="1" spans="1:16">
      <c r="A486" s="14">
        <v>239</v>
      </c>
      <c r="B486" s="15" t="s">
        <v>254</v>
      </c>
      <c r="C486" s="18"/>
      <c r="D486" s="16">
        <v>0</v>
      </c>
      <c r="E486" s="17"/>
      <c r="F486" s="17">
        <v>0</v>
      </c>
      <c r="G486" s="17"/>
      <c r="H486" s="16">
        <v>0</v>
      </c>
      <c r="I486" s="17"/>
      <c r="J486" s="17">
        <v>0</v>
      </c>
      <c r="K486" s="17"/>
      <c r="L486" s="17">
        <v>0</v>
      </c>
      <c r="M486" s="22"/>
      <c r="N486" s="17">
        <v>0</v>
      </c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0</v>
      </c>
      <c r="F487" s="17"/>
      <c r="G487" s="17">
        <v>0</v>
      </c>
      <c r="H487" s="16"/>
      <c r="I487" s="17">
        <v>0</v>
      </c>
      <c r="J487" s="17"/>
      <c r="K487" s="17">
        <v>0</v>
      </c>
      <c r="L487" s="17"/>
      <c r="M487" s="22">
        <v>0</v>
      </c>
      <c r="N487" s="17"/>
      <c r="O487" s="22">
        <v>0</v>
      </c>
      <c r="P487" s="19">
        <f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0</v>
      </c>
      <c r="E488" s="17"/>
      <c r="F488" s="17">
        <v>0</v>
      </c>
      <c r="G488" s="17"/>
      <c r="H488" s="16">
        <v>0</v>
      </c>
      <c r="I488" s="17"/>
      <c r="J488" s="17">
        <v>0</v>
      </c>
      <c r="K488" s="17"/>
      <c r="L488" s="17">
        <v>0</v>
      </c>
      <c r="M488" s="22"/>
      <c r="N488" s="17">
        <v>0</v>
      </c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0</v>
      </c>
      <c r="F489" s="17"/>
      <c r="G489" s="17">
        <v>0</v>
      </c>
      <c r="H489" s="16"/>
      <c r="I489" s="17">
        <v>0</v>
      </c>
      <c r="J489" s="17"/>
      <c r="K489" s="17">
        <v>0</v>
      </c>
      <c r="L489" s="17"/>
      <c r="M489" s="22">
        <v>0</v>
      </c>
      <c r="N489" s="17"/>
      <c r="O489" s="22">
        <v>0</v>
      </c>
      <c r="P489" s="19">
        <f>I489+K489-M489-O489</f>
        <v>0</v>
      </c>
    </row>
    <row r="490" ht="12" customHeight="1" spans="1:16">
      <c r="A490" s="14">
        <v>241</v>
      </c>
      <c r="B490" s="15" t="s">
        <v>256</v>
      </c>
      <c r="C490" s="25"/>
      <c r="D490" s="16">
        <v>0</v>
      </c>
      <c r="E490" s="17"/>
      <c r="F490" s="17">
        <v>0</v>
      </c>
      <c r="G490" s="17"/>
      <c r="H490" s="16">
        <v>0</v>
      </c>
      <c r="I490" s="17"/>
      <c r="J490" s="17">
        <v>0</v>
      </c>
      <c r="K490" s="17"/>
      <c r="L490" s="17">
        <v>0</v>
      </c>
      <c r="M490" s="22"/>
      <c r="N490" s="17">
        <v>0</v>
      </c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0</v>
      </c>
      <c r="F491" s="17"/>
      <c r="G491" s="17">
        <v>0</v>
      </c>
      <c r="H491" s="16"/>
      <c r="I491" s="17">
        <v>0</v>
      </c>
      <c r="J491" s="17"/>
      <c r="K491" s="17">
        <v>0</v>
      </c>
      <c r="L491" s="17"/>
      <c r="M491" s="22">
        <v>0</v>
      </c>
      <c r="N491" s="17"/>
      <c r="O491" s="22">
        <v>0</v>
      </c>
      <c r="P491" s="19">
        <f>I491+K491-M491-O491</f>
        <v>0</v>
      </c>
    </row>
    <row r="492" ht="12" customHeight="1" spans="1:16">
      <c r="A492" s="14">
        <v>242</v>
      </c>
      <c r="B492" s="15" t="s">
        <v>257</v>
      </c>
      <c r="C492" s="18"/>
      <c r="D492" s="16">
        <v>0</v>
      </c>
      <c r="E492" s="17"/>
      <c r="F492" s="17">
        <v>0</v>
      </c>
      <c r="G492" s="17"/>
      <c r="H492" s="16">
        <v>0</v>
      </c>
      <c r="I492" s="17"/>
      <c r="J492" s="17">
        <v>0</v>
      </c>
      <c r="K492" s="17"/>
      <c r="L492" s="17">
        <v>0</v>
      </c>
      <c r="M492" s="22"/>
      <c r="N492" s="17">
        <v>0</v>
      </c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0</v>
      </c>
      <c r="F493" s="17"/>
      <c r="G493" s="17">
        <v>0</v>
      </c>
      <c r="H493" s="16"/>
      <c r="I493" s="17">
        <v>0</v>
      </c>
      <c r="J493" s="17"/>
      <c r="K493" s="17">
        <v>0</v>
      </c>
      <c r="L493" s="17"/>
      <c r="M493" s="22">
        <v>0</v>
      </c>
      <c r="N493" s="17"/>
      <c r="O493" s="22">
        <v>0</v>
      </c>
      <c r="P493" s="19">
        <f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0</v>
      </c>
      <c r="E494" s="17"/>
      <c r="F494" s="17">
        <v>0</v>
      </c>
      <c r="G494" s="17"/>
      <c r="H494" s="16">
        <v>0</v>
      </c>
      <c r="I494" s="17"/>
      <c r="J494" s="17">
        <v>0</v>
      </c>
      <c r="K494" s="17"/>
      <c r="L494" s="17">
        <v>0</v>
      </c>
      <c r="M494" s="22"/>
      <c r="N494" s="17">
        <v>0</v>
      </c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0</v>
      </c>
      <c r="F495" s="17"/>
      <c r="G495" s="17">
        <v>0</v>
      </c>
      <c r="H495" s="16"/>
      <c r="I495" s="17">
        <v>0</v>
      </c>
      <c r="J495" s="17"/>
      <c r="K495" s="17">
        <v>0</v>
      </c>
      <c r="L495" s="17"/>
      <c r="M495" s="22">
        <v>0</v>
      </c>
      <c r="N495" s="17"/>
      <c r="O495" s="22">
        <v>0</v>
      </c>
      <c r="P495" s="19">
        <f>I495+K495-M495-O495</f>
        <v>0</v>
      </c>
    </row>
    <row r="496" ht="12" customHeight="1" spans="1:16">
      <c r="A496" s="14">
        <v>244</v>
      </c>
      <c r="B496" s="15" t="s">
        <v>259</v>
      </c>
      <c r="C496" s="25"/>
      <c r="D496" s="16">
        <v>0</v>
      </c>
      <c r="E496" s="17"/>
      <c r="F496" s="17">
        <v>0</v>
      </c>
      <c r="G496" s="17"/>
      <c r="H496" s="16">
        <v>0</v>
      </c>
      <c r="I496" s="17"/>
      <c r="J496" s="17">
        <v>0</v>
      </c>
      <c r="K496" s="17"/>
      <c r="L496" s="17">
        <v>0</v>
      </c>
      <c r="M496" s="22"/>
      <c r="N496" s="17">
        <v>0</v>
      </c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0</v>
      </c>
      <c r="F497" s="17"/>
      <c r="G497" s="17">
        <v>0</v>
      </c>
      <c r="H497" s="16"/>
      <c r="I497" s="17">
        <v>0</v>
      </c>
      <c r="J497" s="17"/>
      <c r="K497" s="17">
        <v>0</v>
      </c>
      <c r="L497" s="17"/>
      <c r="M497" s="22">
        <v>0</v>
      </c>
      <c r="N497" s="17"/>
      <c r="O497" s="22">
        <v>0</v>
      </c>
      <c r="P497" s="19">
        <f>I497+K497-M497-O497</f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>
        <v>0</v>
      </c>
      <c r="I498" s="17"/>
      <c r="J498" s="17">
        <v>0</v>
      </c>
      <c r="K498" s="17"/>
      <c r="L498" s="17">
        <v>0</v>
      </c>
      <c r="M498" s="22"/>
      <c r="N498" s="17">
        <v>0</v>
      </c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1"/>
      <c r="E500" s="31">
        <f>SUM(E10:E499)</f>
        <v>794682.31</v>
      </c>
      <c r="F500" s="31"/>
      <c r="G500" s="31">
        <f t="shared" ref="E500:I500" si="58">SUM(G10:G499)</f>
        <v>111376.98</v>
      </c>
      <c r="H500" s="31"/>
      <c r="I500" s="31">
        <f t="shared" si="58"/>
        <v>786300.14</v>
      </c>
      <c r="J500" s="31"/>
      <c r="K500" s="31">
        <f>SUM(K10:K499)</f>
        <v>111376.97</v>
      </c>
      <c r="L500" s="30"/>
      <c r="M500" s="31">
        <f>SUM(M10:M499)</f>
        <v>748074.67</v>
      </c>
      <c r="N500" s="30"/>
      <c r="O500" s="31">
        <f>SUM(O10:O499)</f>
        <v>111376.97</v>
      </c>
      <c r="P500" s="31">
        <f>SUM(P10:P499)</f>
        <v>38225.47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>
        <f>E500+G500-I500-K500</f>
        <v>8382.18000000018</v>
      </c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273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  <row r="511" spans="1:16">
      <c r="L511" s="3">
        <f>786300.14+111376.97-748074.67-62251.5</f>
        <v>87350.9399999999</v>
      </c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P509"/>
  <sheetViews>
    <sheetView view="pageBreakPreview" zoomScaleNormal="100" workbookViewId="0">
      <pane xSplit="1" ySplit="9" topLeftCell="E418" activePane="bottomRight" state="frozen"/>
      <selection/>
      <selection pane="topRight"/>
      <selection pane="bottomLeft"/>
      <selection pane="bottomRight" activeCell="X483" sqref="X483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274</v>
      </c>
      <c r="E7" s="7"/>
      <c r="F7" s="7"/>
      <c r="G7" s="7"/>
      <c r="H7" s="8" t="s">
        <v>275</v>
      </c>
      <c r="I7" s="7"/>
      <c r="J7" s="7"/>
      <c r="K7" s="7"/>
      <c r="L7" s="8" t="s">
        <v>276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>
        <v>0</v>
      </c>
      <c r="I10" s="13"/>
      <c r="J10" s="17">
        <v>0</v>
      </c>
      <c r="K10" s="13"/>
      <c r="L10" s="17">
        <v>0</v>
      </c>
      <c r="M10" s="11"/>
      <c r="N10" s="17">
        <v>0</v>
      </c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>
        <v>0</v>
      </c>
      <c r="J11" s="17"/>
      <c r="K11" s="17">
        <v>0</v>
      </c>
      <c r="L11" s="17"/>
      <c r="M11" s="17">
        <v>0</v>
      </c>
      <c r="N11" s="17"/>
      <c r="O11" s="17">
        <v>0</v>
      </c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>
        <v>0</v>
      </c>
      <c r="I12" s="17"/>
      <c r="J12" s="17">
        <v>0</v>
      </c>
      <c r="K12" s="17"/>
      <c r="L12" s="17">
        <v>0</v>
      </c>
      <c r="M12" s="17"/>
      <c r="N12" s="17">
        <v>0</v>
      </c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>
        <v>0</v>
      </c>
      <c r="J13" s="17"/>
      <c r="K13" s="17">
        <v>0</v>
      </c>
      <c r="L13" s="17"/>
      <c r="M13" s="17">
        <v>0</v>
      </c>
      <c r="N13" s="17"/>
      <c r="O13" s="17">
        <v>0</v>
      </c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>
        <v>0</v>
      </c>
      <c r="I14" s="17"/>
      <c r="J14" s="17">
        <v>0</v>
      </c>
      <c r="K14" s="17"/>
      <c r="L14" s="17">
        <v>0</v>
      </c>
      <c r="M14" s="17"/>
      <c r="N14" s="17">
        <v>0</v>
      </c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>
        <v>0</v>
      </c>
      <c r="J15" s="17"/>
      <c r="K15" s="17">
        <v>0</v>
      </c>
      <c r="L15" s="17"/>
      <c r="M15" s="17">
        <v>0</v>
      </c>
      <c r="N15" s="17"/>
      <c r="O15" s="17">
        <v>0</v>
      </c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>
        <v>0</v>
      </c>
      <c r="I16" s="17"/>
      <c r="J16" s="17">
        <v>0</v>
      </c>
      <c r="K16" s="17"/>
      <c r="L16" s="17">
        <v>0</v>
      </c>
      <c r="M16" s="17"/>
      <c r="N16" s="17">
        <v>0</v>
      </c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>
        <v>0</v>
      </c>
      <c r="J17" s="17"/>
      <c r="K17" s="17">
        <v>0</v>
      </c>
      <c r="L17" s="17"/>
      <c r="M17" s="17">
        <v>0</v>
      </c>
      <c r="N17" s="17"/>
      <c r="O17" s="17">
        <v>0</v>
      </c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>
        <v>0</v>
      </c>
      <c r="I18" s="17"/>
      <c r="J18" s="17">
        <v>0</v>
      </c>
      <c r="K18" s="17"/>
      <c r="L18" s="17">
        <v>0</v>
      </c>
      <c r="M18" s="17"/>
      <c r="N18" s="17">
        <v>0</v>
      </c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>
        <v>0</v>
      </c>
      <c r="J19" s="17"/>
      <c r="K19" s="17">
        <v>0</v>
      </c>
      <c r="L19" s="17"/>
      <c r="M19" s="17">
        <v>0</v>
      </c>
      <c r="N19" s="17"/>
      <c r="O19" s="17">
        <v>0</v>
      </c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>
        <v>0</v>
      </c>
      <c r="I20" s="17"/>
      <c r="J20" s="17">
        <v>0</v>
      </c>
      <c r="K20" s="17"/>
      <c r="L20" s="17">
        <v>0</v>
      </c>
      <c r="M20" s="17"/>
      <c r="N20" s="17">
        <v>0</v>
      </c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>
        <v>0</v>
      </c>
      <c r="J21" s="17"/>
      <c r="K21" s="17">
        <v>0</v>
      </c>
      <c r="L21" s="17"/>
      <c r="M21" s="17">
        <v>0</v>
      </c>
      <c r="N21" s="17"/>
      <c r="O21" s="17">
        <v>0</v>
      </c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>
        <v>0</v>
      </c>
      <c r="I22" s="17"/>
      <c r="J22" s="17">
        <v>0</v>
      </c>
      <c r="K22" s="17"/>
      <c r="L22" s="17">
        <v>0</v>
      </c>
      <c r="M22" s="17"/>
      <c r="N22" s="17">
        <v>0</v>
      </c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>
        <v>0</v>
      </c>
      <c r="J23" s="17"/>
      <c r="K23" s="17">
        <v>0</v>
      </c>
      <c r="L23" s="17"/>
      <c r="M23" s="17">
        <v>0</v>
      </c>
      <c r="N23" s="17"/>
      <c r="O23" s="17">
        <v>0</v>
      </c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>
        <v>0</v>
      </c>
      <c r="I24" s="17"/>
      <c r="J24" s="17">
        <v>0</v>
      </c>
      <c r="K24" s="17"/>
      <c r="L24" s="17">
        <v>0</v>
      </c>
      <c r="M24" s="17"/>
      <c r="N24" s="17">
        <v>0</v>
      </c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>
        <v>0</v>
      </c>
      <c r="J25" s="17"/>
      <c r="K25" s="17">
        <v>0</v>
      </c>
      <c r="L25" s="17"/>
      <c r="M25" s="17">
        <v>0</v>
      </c>
      <c r="N25" s="17"/>
      <c r="O25" s="17">
        <v>0</v>
      </c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>
        <v>0</v>
      </c>
      <c r="I26" s="17"/>
      <c r="J26" s="17">
        <v>0</v>
      </c>
      <c r="K26" s="17"/>
      <c r="L26" s="17">
        <v>0</v>
      </c>
      <c r="M26" s="17"/>
      <c r="N26" s="17">
        <v>0</v>
      </c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>
        <v>0</v>
      </c>
      <c r="J27" s="17"/>
      <c r="K27" s="17">
        <v>0</v>
      </c>
      <c r="L27" s="17"/>
      <c r="M27" s="17">
        <v>0</v>
      </c>
      <c r="N27" s="17"/>
      <c r="O27" s="17">
        <v>0</v>
      </c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>
        <v>0</v>
      </c>
      <c r="I28" s="17"/>
      <c r="J28" s="17">
        <v>0</v>
      </c>
      <c r="K28" s="17"/>
      <c r="L28" s="17">
        <v>0</v>
      </c>
      <c r="M28" s="17"/>
      <c r="N28" s="17">
        <v>0</v>
      </c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>
        <v>0</v>
      </c>
      <c r="J29" s="17"/>
      <c r="K29" s="17">
        <v>0</v>
      </c>
      <c r="L29" s="17"/>
      <c r="M29" s="17">
        <v>0</v>
      </c>
      <c r="N29" s="17"/>
      <c r="O29" s="17">
        <v>0</v>
      </c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>
        <v>0</v>
      </c>
      <c r="I30" s="17"/>
      <c r="J30" s="17">
        <v>0</v>
      </c>
      <c r="K30" s="17"/>
      <c r="L30" s="17">
        <v>0</v>
      </c>
      <c r="M30" s="17"/>
      <c r="N30" s="17">
        <v>0</v>
      </c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>
        <v>0</v>
      </c>
      <c r="J31" s="17"/>
      <c r="K31" s="17">
        <v>0</v>
      </c>
      <c r="L31" s="17"/>
      <c r="M31" s="17">
        <v>0</v>
      </c>
      <c r="N31" s="17"/>
      <c r="O31" s="17">
        <v>0</v>
      </c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>
        <v>0</v>
      </c>
      <c r="I32" s="17"/>
      <c r="J32" s="17">
        <v>0</v>
      </c>
      <c r="K32" s="17"/>
      <c r="L32" s="17">
        <v>0</v>
      </c>
      <c r="M32" s="17"/>
      <c r="N32" s="17">
        <v>0</v>
      </c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>
        <v>0</v>
      </c>
      <c r="J33" s="17"/>
      <c r="K33" s="20">
        <v>0</v>
      </c>
      <c r="L33" s="17"/>
      <c r="M33" s="20">
        <v>0</v>
      </c>
      <c r="N33" s="17"/>
      <c r="O33" s="20">
        <v>0</v>
      </c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>
        <v>0</v>
      </c>
      <c r="I34" s="21"/>
      <c r="J34" s="17">
        <v>0</v>
      </c>
      <c r="K34" s="21"/>
      <c r="L34" s="17">
        <v>0</v>
      </c>
      <c r="M34" s="21"/>
      <c r="N34" s="17">
        <v>0</v>
      </c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>
        <v>0</v>
      </c>
      <c r="J35" s="17"/>
      <c r="K35" s="17">
        <v>0</v>
      </c>
      <c r="L35" s="17"/>
      <c r="M35" s="22">
        <v>0</v>
      </c>
      <c r="N35" s="17"/>
      <c r="O35" s="22">
        <v>0</v>
      </c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>
        <v>0</v>
      </c>
      <c r="I36" s="17"/>
      <c r="J36" s="17">
        <v>0</v>
      </c>
      <c r="K36" s="17"/>
      <c r="L36" s="17">
        <v>0</v>
      </c>
      <c r="M36" s="22"/>
      <c r="N36" s="17">
        <v>0</v>
      </c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>
        <v>0</v>
      </c>
      <c r="J37" s="17"/>
      <c r="K37" s="17">
        <v>0</v>
      </c>
      <c r="L37" s="17"/>
      <c r="M37" s="22">
        <v>0</v>
      </c>
      <c r="N37" s="17"/>
      <c r="O37" s="22">
        <v>0</v>
      </c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>
        <v>0</v>
      </c>
      <c r="I38" s="17"/>
      <c r="J38" s="17">
        <v>0</v>
      </c>
      <c r="K38" s="17"/>
      <c r="L38" s="17">
        <v>0</v>
      </c>
      <c r="M38" s="22"/>
      <c r="N38" s="17">
        <v>0</v>
      </c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>
        <v>0</v>
      </c>
      <c r="J39" s="17"/>
      <c r="K39" s="17">
        <v>0</v>
      </c>
      <c r="L39" s="17"/>
      <c r="M39" s="22">
        <v>0</v>
      </c>
      <c r="N39" s="17"/>
      <c r="O39" s="22">
        <v>0</v>
      </c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>
        <v>0</v>
      </c>
      <c r="I40" s="17"/>
      <c r="J40" s="17">
        <v>0</v>
      </c>
      <c r="K40" s="17"/>
      <c r="L40" s="17">
        <v>0</v>
      </c>
      <c r="M40" s="22"/>
      <c r="N40" s="17">
        <v>0</v>
      </c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>
        <v>0</v>
      </c>
      <c r="J41" s="17"/>
      <c r="K41" s="17">
        <v>0</v>
      </c>
      <c r="L41" s="17"/>
      <c r="M41" s="22">
        <v>0</v>
      </c>
      <c r="N41" s="17"/>
      <c r="O41" s="22">
        <v>0</v>
      </c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>
        <v>0</v>
      </c>
      <c r="I42" s="17"/>
      <c r="J42" s="17">
        <v>0</v>
      </c>
      <c r="K42" s="17"/>
      <c r="L42" s="17">
        <v>0</v>
      </c>
      <c r="M42" s="22"/>
      <c r="N42" s="17">
        <v>0</v>
      </c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>
        <v>0</v>
      </c>
      <c r="J43" s="17"/>
      <c r="K43" s="17">
        <v>0</v>
      </c>
      <c r="L43" s="17"/>
      <c r="M43" s="22">
        <v>0</v>
      </c>
      <c r="N43" s="17"/>
      <c r="O43" s="22">
        <v>0</v>
      </c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>
        <v>0</v>
      </c>
      <c r="I44" s="17"/>
      <c r="J44" s="17">
        <v>0</v>
      </c>
      <c r="K44" s="17"/>
      <c r="L44" s="17">
        <v>0</v>
      </c>
      <c r="M44" s="22"/>
      <c r="N44" s="17">
        <v>0</v>
      </c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>
        <v>0</v>
      </c>
      <c r="J45" s="17"/>
      <c r="K45" s="17">
        <v>0</v>
      </c>
      <c r="L45" s="17"/>
      <c r="M45" s="22">
        <v>0</v>
      </c>
      <c r="N45" s="17"/>
      <c r="O45" s="22">
        <v>0</v>
      </c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>
        <v>0</v>
      </c>
      <c r="I46" s="17"/>
      <c r="J46" s="17">
        <v>0</v>
      </c>
      <c r="K46" s="17"/>
      <c r="L46" s="17">
        <v>0</v>
      </c>
      <c r="M46" s="22"/>
      <c r="N46" s="17">
        <v>0</v>
      </c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>
        <v>0</v>
      </c>
      <c r="J47" s="17"/>
      <c r="K47" s="17">
        <v>0</v>
      </c>
      <c r="L47" s="17"/>
      <c r="M47" s="22">
        <v>0</v>
      </c>
      <c r="N47" s="17"/>
      <c r="O47" s="22">
        <v>0</v>
      </c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>
        <v>0</v>
      </c>
      <c r="I48" s="17"/>
      <c r="J48" s="17">
        <v>0</v>
      </c>
      <c r="K48" s="17"/>
      <c r="L48" s="17">
        <v>0</v>
      </c>
      <c r="M48" s="22"/>
      <c r="N48" s="17">
        <v>0</v>
      </c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>
        <v>0</v>
      </c>
      <c r="J49" s="17"/>
      <c r="K49" s="17">
        <v>0</v>
      </c>
      <c r="L49" s="17"/>
      <c r="M49" s="22">
        <v>0</v>
      </c>
      <c r="N49" s="17"/>
      <c r="O49" s="22">
        <v>0</v>
      </c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>
        <v>0</v>
      </c>
      <c r="I50" s="17"/>
      <c r="J50" s="17">
        <v>0</v>
      </c>
      <c r="K50" s="17"/>
      <c r="L50" s="17">
        <v>0</v>
      </c>
      <c r="M50" s="22"/>
      <c r="N50" s="17">
        <v>0</v>
      </c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>
        <v>0</v>
      </c>
      <c r="J51" s="17"/>
      <c r="K51" s="17">
        <v>0</v>
      </c>
      <c r="L51" s="17"/>
      <c r="M51" s="22">
        <v>0</v>
      </c>
      <c r="N51" s="17"/>
      <c r="O51" s="22">
        <v>0</v>
      </c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>
        <v>0</v>
      </c>
      <c r="I52" s="17"/>
      <c r="J52" s="17">
        <v>0</v>
      </c>
      <c r="K52" s="17"/>
      <c r="L52" s="17">
        <v>0</v>
      </c>
      <c r="M52" s="22"/>
      <c r="N52" s="17">
        <v>0</v>
      </c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>
        <v>0</v>
      </c>
      <c r="J53" s="17"/>
      <c r="K53" s="17">
        <v>0</v>
      </c>
      <c r="L53" s="17"/>
      <c r="M53" s="22">
        <v>0</v>
      </c>
      <c r="N53" s="17"/>
      <c r="O53" s="22">
        <v>0</v>
      </c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>
        <v>0</v>
      </c>
      <c r="I54" s="17"/>
      <c r="J54" s="17">
        <v>0</v>
      </c>
      <c r="K54" s="17"/>
      <c r="L54" s="17">
        <v>0</v>
      </c>
      <c r="M54" s="22"/>
      <c r="N54" s="17">
        <v>0</v>
      </c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>
        <v>0</v>
      </c>
      <c r="J55" s="17"/>
      <c r="K55" s="17">
        <v>0</v>
      </c>
      <c r="L55" s="17"/>
      <c r="M55" s="22">
        <v>0</v>
      </c>
      <c r="N55" s="17"/>
      <c r="O55" s="22">
        <v>0</v>
      </c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>
        <v>0</v>
      </c>
      <c r="I56" s="17"/>
      <c r="J56" s="17">
        <v>0</v>
      </c>
      <c r="K56" s="17"/>
      <c r="L56" s="17">
        <v>0</v>
      </c>
      <c r="M56" s="22"/>
      <c r="N56" s="17">
        <v>0</v>
      </c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>
        <v>0</v>
      </c>
      <c r="J57" s="17"/>
      <c r="K57" s="17">
        <v>0</v>
      </c>
      <c r="L57" s="17"/>
      <c r="M57" s="22">
        <v>0</v>
      </c>
      <c r="N57" s="17"/>
      <c r="O57" s="22">
        <v>0</v>
      </c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>
        <v>0</v>
      </c>
      <c r="I58" s="17"/>
      <c r="J58" s="17">
        <v>0</v>
      </c>
      <c r="K58" s="17"/>
      <c r="L58" s="17">
        <v>0</v>
      </c>
      <c r="M58" s="22"/>
      <c r="N58" s="17">
        <v>0</v>
      </c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>
        <v>0</v>
      </c>
      <c r="J59" s="17"/>
      <c r="K59" s="17">
        <v>0</v>
      </c>
      <c r="L59" s="17"/>
      <c r="M59" s="22">
        <v>0</v>
      </c>
      <c r="N59" s="17"/>
      <c r="O59" s="22">
        <v>0</v>
      </c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>
        <v>0</v>
      </c>
      <c r="I60" s="17"/>
      <c r="J60" s="17">
        <v>0</v>
      </c>
      <c r="K60" s="17"/>
      <c r="L60" s="17">
        <v>0</v>
      </c>
      <c r="M60" s="22"/>
      <c r="N60" s="17">
        <v>0</v>
      </c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>
        <v>0</v>
      </c>
      <c r="J61" s="17"/>
      <c r="K61" s="17">
        <v>0</v>
      </c>
      <c r="L61" s="17"/>
      <c r="M61" s="22">
        <v>0</v>
      </c>
      <c r="N61" s="17"/>
      <c r="O61" s="22">
        <v>0</v>
      </c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>
        <v>0</v>
      </c>
      <c r="I62" s="17"/>
      <c r="J62" s="17">
        <v>0</v>
      </c>
      <c r="K62" s="17"/>
      <c r="L62" s="17">
        <v>0</v>
      </c>
      <c r="M62" s="22"/>
      <c r="N62" s="17">
        <v>0</v>
      </c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>
        <v>0</v>
      </c>
      <c r="J63" s="17"/>
      <c r="K63" s="17">
        <v>0</v>
      </c>
      <c r="L63" s="17"/>
      <c r="M63" s="22">
        <v>0</v>
      </c>
      <c r="N63" s="17"/>
      <c r="O63" s="22">
        <v>0</v>
      </c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>
        <v>0</v>
      </c>
      <c r="I64" s="17"/>
      <c r="J64" s="17">
        <v>0</v>
      </c>
      <c r="K64" s="17"/>
      <c r="L64" s="17">
        <v>0</v>
      </c>
      <c r="M64" s="22"/>
      <c r="N64" s="17">
        <v>0</v>
      </c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>
        <v>0</v>
      </c>
      <c r="J65" s="17"/>
      <c r="K65" s="17">
        <v>0</v>
      </c>
      <c r="L65" s="17"/>
      <c r="M65" s="22">
        <v>0</v>
      </c>
      <c r="N65" s="17"/>
      <c r="O65" s="22">
        <v>0</v>
      </c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>
        <v>0</v>
      </c>
      <c r="I66" s="17"/>
      <c r="J66" s="17">
        <v>0</v>
      </c>
      <c r="K66" s="17"/>
      <c r="L66" s="17">
        <v>0</v>
      </c>
      <c r="M66" s="22"/>
      <c r="N66" s="17">
        <v>0</v>
      </c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>
        <v>0</v>
      </c>
      <c r="J67" s="17"/>
      <c r="K67" s="17">
        <v>0</v>
      </c>
      <c r="L67" s="17"/>
      <c r="M67" s="22">
        <v>0</v>
      </c>
      <c r="N67" s="17"/>
      <c r="O67" s="22">
        <v>0</v>
      </c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>
        <v>0</v>
      </c>
      <c r="I68" s="17"/>
      <c r="J68" s="17">
        <v>0</v>
      </c>
      <c r="K68" s="17"/>
      <c r="L68" s="17">
        <v>0</v>
      </c>
      <c r="M68" s="22"/>
      <c r="N68" s="17">
        <v>0</v>
      </c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>
        <v>0</v>
      </c>
      <c r="J69" s="17"/>
      <c r="K69" s="17">
        <v>0</v>
      </c>
      <c r="L69" s="17"/>
      <c r="M69" s="22">
        <v>0</v>
      </c>
      <c r="N69" s="17"/>
      <c r="O69" s="22">
        <v>0</v>
      </c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>
        <v>0</v>
      </c>
      <c r="I70" s="17"/>
      <c r="J70" s="17">
        <v>0</v>
      </c>
      <c r="K70" s="17"/>
      <c r="L70" s="17">
        <v>0</v>
      </c>
      <c r="M70" s="22"/>
      <c r="N70" s="17">
        <v>0</v>
      </c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>
        <v>0</v>
      </c>
      <c r="J71" s="17"/>
      <c r="K71" s="17">
        <v>0</v>
      </c>
      <c r="L71" s="17"/>
      <c r="M71" s="22">
        <v>0</v>
      </c>
      <c r="N71" s="17"/>
      <c r="O71" s="22">
        <v>0</v>
      </c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>
        <v>0</v>
      </c>
      <c r="I72" s="17"/>
      <c r="J72" s="17">
        <v>0</v>
      </c>
      <c r="K72" s="17"/>
      <c r="L72" s="17">
        <v>0</v>
      </c>
      <c r="M72" s="22"/>
      <c r="N72" s="17">
        <v>0</v>
      </c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>
        <v>0</v>
      </c>
      <c r="J73" s="17"/>
      <c r="K73" s="17">
        <v>0</v>
      </c>
      <c r="L73" s="17"/>
      <c r="M73" s="22">
        <v>0</v>
      </c>
      <c r="N73" s="17"/>
      <c r="O73" s="22">
        <v>0</v>
      </c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>
        <v>0</v>
      </c>
      <c r="I74" s="17"/>
      <c r="J74" s="17">
        <v>0</v>
      </c>
      <c r="K74" s="17"/>
      <c r="L74" s="17">
        <v>0</v>
      </c>
      <c r="M74" s="22"/>
      <c r="N74" s="17">
        <v>0</v>
      </c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>
        <v>0</v>
      </c>
      <c r="J75" s="17"/>
      <c r="K75" s="17">
        <v>0</v>
      </c>
      <c r="L75" s="17"/>
      <c r="M75" s="22">
        <v>0</v>
      </c>
      <c r="N75" s="17"/>
      <c r="O75" s="22">
        <v>0</v>
      </c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>
        <v>0</v>
      </c>
      <c r="I76" s="17"/>
      <c r="J76" s="17">
        <v>0</v>
      </c>
      <c r="K76" s="17"/>
      <c r="L76" s="17">
        <v>0</v>
      </c>
      <c r="M76" s="22"/>
      <c r="N76" s="17">
        <v>0</v>
      </c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>
        <v>0</v>
      </c>
      <c r="J77" s="17"/>
      <c r="K77" s="17">
        <v>0</v>
      </c>
      <c r="L77" s="17"/>
      <c r="M77" s="22">
        <v>0</v>
      </c>
      <c r="N77" s="17"/>
      <c r="O77" s="22">
        <v>0</v>
      </c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>
        <v>0</v>
      </c>
      <c r="I78" s="17"/>
      <c r="J78" s="17">
        <v>0</v>
      </c>
      <c r="K78" s="17"/>
      <c r="L78" s="17">
        <v>0</v>
      </c>
      <c r="M78" s="22"/>
      <c r="N78" s="17">
        <v>0</v>
      </c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>
        <v>0</v>
      </c>
      <c r="J79" s="17"/>
      <c r="K79" s="17">
        <v>0</v>
      </c>
      <c r="L79" s="17"/>
      <c r="M79" s="22">
        <v>0</v>
      </c>
      <c r="N79" s="17"/>
      <c r="O79" s="22">
        <v>0</v>
      </c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>
        <v>0</v>
      </c>
      <c r="I80" s="17"/>
      <c r="J80" s="17">
        <v>0</v>
      </c>
      <c r="K80" s="17"/>
      <c r="L80" s="17">
        <v>0</v>
      </c>
      <c r="M80" s="22"/>
      <c r="N80" s="17">
        <v>0</v>
      </c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>
        <v>0</v>
      </c>
      <c r="J81" s="17"/>
      <c r="K81" s="17">
        <v>0</v>
      </c>
      <c r="L81" s="17"/>
      <c r="M81" s="22">
        <v>0</v>
      </c>
      <c r="N81" s="17"/>
      <c r="O81" s="22">
        <v>0</v>
      </c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>
        <v>0</v>
      </c>
      <c r="I82" s="17"/>
      <c r="J82" s="17">
        <v>0</v>
      </c>
      <c r="K82" s="17"/>
      <c r="L82" s="17">
        <v>0</v>
      </c>
      <c r="M82" s="22"/>
      <c r="N82" s="17">
        <v>0</v>
      </c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>
        <v>0</v>
      </c>
      <c r="J83" s="17"/>
      <c r="K83" s="17">
        <v>0</v>
      </c>
      <c r="L83" s="17"/>
      <c r="M83" s="22">
        <v>0</v>
      </c>
      <c r="N83" s="17"/>
      <c r="O83" s="22">
        <v>0</v>
      </c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>
        <v>0</v>
      </c>
      <c r="I84" s="17"/>
      <c r="J84" s="17">
        <v>0</v>
      </c>
      <c r="K84" s="17"/>
      <c r="L84" s="17">
        <v>0</v>
      </c>
      <c r="M84" s="22"/>
      <c r="N84" s="17">
        <v>0</v>
      </c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>
        <v>0</v>
      </c>
      <c r="J85" s="17"/>
      <c r="K85" s="17">
        <v>0</v>
      </c>
      <c r="L85" s="17"/>
      <c r="M85" s="22">
        <v>0</v>
      </c>
      <c r="N85" s="17"/>
      <c r="O85" s="22">
        <v>0</v>
      </c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>
        <v>0</v>
      </c>
      <c r="I86" s="17"/>
      <c r="J86" s="17">
        <v>0</v>
      </c>
      <c r="K86" s="17"/>
      <c r="L86" s="17">
        <v>0</v>
      </c>
      <c r="M86" s="22"/>
      <c r="N86" s="17">
        <v>0</v>
      </c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>
        <v>0</v>
      </c>
      <c r="J87" s="17"/>
      <c r="K87" s="17">
        <v>0</v>
      </c>
      <c r="L87" s="17"/>
      <c r="M87" s="22">
        <v>0</v>
      </c>
      <c r="N87" s="17"/>
      <c r="O87" s="22">
        <v>0</v>
      </c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>
        <v>0</v>
      </c>
      <c r="I88" s="17"/>
      <c r="J88" s="17">
        <v>0</v>
      </c>
      <c r="K88" s="17"/>
      <c r="L88" s="17">
        <v>0</v>
      </c>
      <c r="M88" s="22"/>
      <c r="N88" s="17">
        <v>0</v>
      </c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>
        <v>0</v>
      </c>
      <c r="J89" s="17"/>
      <c r="K89" s="17">
        <v>0</v>
      </c>
      <c r="L89" s="17"/>
      <c r="M89" s="22">
        <v>0</v>
      </c>
      <c r="N89" s="17"/>
      <c r="O89" s="22">
        <v>0</v>
      </c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>
        <v>0</v>
      </c>
      <c r="I90" s="17"/>
      <c r="J90" s="17">
        <v>0</v>
      </c>
      <c r="K90" s="17"/>
      <c r="L90" s="17">
        <v>0</v>
      </c>
      <c r="M90" s="22"/>
      <c r="N90" s="17">
        <v>0</v>
      </c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>
        <v>0</v>
      </c>
      <c r="J91" s="17"/>
      <c r="K91" s="17">
        <v>0</v>
      </c>
      <c r="L91" s="17"/>
      <c r="M91" s="22">
        <v>0</v>
      </c>
      <c r="N91" s="17"/>
      <c r="O91" s="22">
        <v>0</v>
      </c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>
        <v>0</v>
      </c>
      <c r="I92" s="17"/>
      <c r="J92" s="17">
        <v>0</v>
      </c>
      <c r="K92" s="17"/>
      <c r="L92" s="17">
        <v>0</v>
      </c>
      <c r="M92" s="22"/>
      <c r="N92" s="17">
        <v>0</v>
      </c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>
        <v>0</v>
      </c>
      <c r="J93" s="17"/>
      <c r="K93" s="17">
        <v>0</v>
      </c>
      <c r="L93" s="17"/>
      <c r="M93" s="22">
        <v>0</v>
      </c>
      <c r="N93" s="17"/>
      <c r="O93" s="22">
        <v>0</v>
      </c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>
        <v>0</v>
      </c>
      <c r="I94" s="17"/>
      <c r="J94" s="17">
        <v>0</v>
      </c>
      <c r="K94" s="17"/>
      <c r="L94" s="17">
        <v>0</v>
      </c>
      <c r="M94" s="22"/>
      <c r="N94" s="17">
        <v>0</v>
      </c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>
        <v>0</v>
      </c>
      <c r="J95" s="17"/>
      <c r="K95" s="17">
        <v>0</v>
      </c>
      <c r="L95" s="17"/>
      <c r="M95" s="22">
        <v>0</v>
      </c>
      <c r="N95" s="17"/>
      <c r="O95" s="22">
        <v>0</v>
      </c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>
        <v>0</v>
      </c>
      <c r="I96" s="17"/>
      <c r="J96" s="17">
        <v>0</v>
      </c>
      <c r="K96" s="17"/>
      <c r="L96" s="17">
        <v>0</v>
      </c>
      <c r="M96" s="22"/>
      <c r="N96" s="17">
        <v>0</v>
      </c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>
        <v>0</v>
      </c>
      <c r="J97" s="17"/>
      <c r="K97" s="17">
        <v>0</v>
      </c>
      <c r="L97" s="17"/>
      <c r="M97" s="22">
        <v>0</v>
      </c>
      <c r="N97" s="17"/>
      <c r="O97" s="22">
        <v>0</v>
      </c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>
        <v>0</v>
      </c>
      <c r="I98" s="17"/>
      <c r="J98" s="17">
        <v>0</v>
      </c>
      <c r="K98" s="17"/>
      <c r="L98" s="17">
        <v>0</v>
      </c>
      <c r="M98" s="22"/>
      <c r="N98" s="17">
        <v>0</v>
      </c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>
        <v>0</v>
      </c>
      <c r="J99" s="17"/>
      <c r="K99" s="17">
        <v>0</v>
      </c>
      <c r="L99" s="17"/>
      <c r="M99" s="22">
        <v>0</v>
      </c>
      <c r="N99" s="17"/>
      <c r="O99" s="22">
        <v>0</v>
      </c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>
        <v>0</v>
      </c>
      <c r="I100" s="17"/>
      <c r="J100" s="17">
        <v>0</v>
      </c>
      <c r="K100" s="17"/>
      <c r="L100" s="17">
        <v>0</v>
      </c>
      <c r="M100" s="22"/>
      <c r="N100" s="17">
        <v>0</v>
      </c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>
        <v>0</v>
      </c>
      <c r="J101" s="17"/>
      <c r="K101" s="17">
        <v>0</v>
      </c>
      <c r="L101" s="17"/>
      <c r="M101" s="22">
        <v>0</v>
      </c>
      <c r="N101" s="17"/>
      <c r="O101" s="22">
        <v>0</v>
      </c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>
        <v>0</v>
      </c>
      <c r="I102" s="17"/>
      <c r="J102" s="17">
        <v>0</v>
      </c>
      <c r="K102" s="17"/>
      <c r="L102" s="17">
        <v>0</v>
      </c>
      <c r="M102" s="22"/>
      <c r="N102" s="17">
        <v>0</v>
      </c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>
        <v>0</v>
      </c>
      <c r="J103" s="17"/>
      <c r="K103" s="17">
        <v>0</v>
      </c>
      <c r="L103" s="17"/>
      <c r="M103" s="22">
        <v>0</v>
      </c>
      <c r="N103" s="17"/>
      <c r="O103" s="22">
        <v>0</v>
      </c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>
        <v>0</v>
      </c>
      <c r="I104" s="17"/>
      <c r="J104" s="17">
        <v>0</v>
      </c>
      <c r="K104" s="17"/>
      <c r="L104" s="17">
        <v>0</v>
      </c>
      <c r="M104" s="22"/>
      <c r="N104" s="17">
        <v>0</v>
      </c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>
        <v>0</v>
      </c>
      <c r="J105" s="17"/>
      <c r="K105" s="17">
        <v>0</v>
      </c>
      <c r="L105" s="17"/>
      <c r="M105" s="22">
        <v>0</v>
      </c>
      <c r="N105" s="17"/>
      <c r="O105" s="22">
        <v>0</v>
      </c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>
        <v>0</v>
      </c>
      <c r="I106" s="17"/>
      <c r="J106" s="17">
        <v>0</v>
      </c>
      <c r="K106" s="17"/>
      <c r="L106" s="17">
        <v>0</v>
      </c>
      <c r="M106" s="22"/>
      <c r="N106" s="17">
        <v>0</v>
      </c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>
        <v>0</v>
      </c>
      <c r="J107" s="17"/>
      <c r="K107" s="17">
        <v>0</v>
      </c>
      <c r="L107" s="17"/>
      <c r="M107" s="22">
        <v>0</v>
      </c>
      <c r="N107" s="17"/>
      <c r="O107" s="22">
        <v>0</v>
      </c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>
        <v>0</v>
      </c>
      <c r="I108" s="17"/>
      <c r="J108" s="17">
        <v>0</v>
      </c>
      <c r="K108" s="17"/>
      <c r="L108" s="17">
        <v>0</v>
      </c>
      <c r="M108" s="22"/>
      <c r="N108" s="17">
        <v>0</v>
      </c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>
        <v>0</v>
      </c>
      <c r="J109" s="17"/>
      <c r="K109" s="17">
        <v>0</v>
      </c>
      <c r="L109" s="17"/>
      <c r="M109" s="22">
        <v>0</v>
      </c>
      <c r="N109" s="17"/>
      <c r="O109" s="22">
        <v>0</v>
      </c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>
        <v>0</v>
      </c>
      <c r="I110" s="17"/>
      <c r="J110" s="17">
        <v>0</v>
      </c>
      <c r="K110" s="17"/>
      <c r="L110" s="17">
        <v>0</v>
      </c>
      <c r="M110" s="22"/>
      <c r="N110" s="17">
        <v>0</v>
      </c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>
        <v>0</v>
      </c>
      <c r="J111" s="17"/>
      <c r="K111" s="17">
        <v>0</v>
      </c>
      <c r="L111" s="17"/>
      <c r="M111" s="22">
        <v>0</v>
      </c>
      <c r="N111" s="17"/>
      <c r="O111" s="22">
        <v>0</v>
      </c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>
        <v>0</v>
      </c>
      <c r="I112" s="17"/>
      <c r="J112" s="17">
        <v>0</v>
      </c>
      <c r="K112" s="17"/>
      <c r="L112" s="17">
        <v>0</v>
      </c>
      <c r="M112" s="22"/>
      <c r="N112" s="17">
        <v>0</v>
      </c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>
        <v>0</v>
      </c>
      <c r="J113" s="17"/>
      <c r="K113" s="17">
        <v>0</v>
      </c>
      <c r="L113" s="17"/>
      <c r="M113" s="22">
        <v>0</v>
      </c>
      <c r="N113" s="17"/>
      <c r="O113" s="22">
        <v>0</v>
      </c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>
        <v>0</v>
      </c>
      <c r="I114" s="17"/>
      <c r="J114" s="17">
        <v>0</v>
      </c>
      <c r="K114" s="17"/>
      <c r="L114" s="17">
        <v>0</v>
      </c>
      <c r="M114" s="22"/>
      <c r="N114" s="17">
        <v>0</v>
      </c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>
        <v>0</v>
      </c>
      <c r="J115" s="17"/>
      <c r="K115" s="17">
        <v>0</v>
      </c>
      <c r="L115" s="17"/>
      <c r="M115" s="22">
        <v>0</v>
      </c>
      <c r="N115" s="17"/>
      <c r="O115" s="22">
        <v>0</v>
      </c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>
        <v>0</v>
      </c>
      <c r="I116" s="17"/>
      <c r="J116" s="17">
        <v>0</v>
      </c>
      <c r="K116" s="17"/>
      <c r="L116" s="17">
        <v>0</v>
      </c>
      <c r="M116" s="22"/>
      <c r="N116" s="17">
        <v>0</v>
      </c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>
        <v>0</v>
      </c>
      <c r="J117" s="17"/>
      <c r="K117" s="17">
        <v>0</v>
      </c>
      <c r="L117" s="17"/>
      <c r="M117" s="22">
        <v>0</v>
      </c>
      <c r="N117" s="17"/>
      <c r="O117" s="22">
        <v>0</v>
      </c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>
        <v>0</v>
      </c>
      <c r="I118" s="17"/>
      <c r="J118" s="17">
        <v>0</v>
      </c>
      <c r="K118" s="17"/>
      <c r="L118" s="17">
        <v>0</v>
      </c>
      <c r="M118" s="22"/>
      <c r="N118" s="17">
        <v>0</v>
      </c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>
        <v>0</v>
      </c>
      <c r="J119" s="17"/>
      <c r="K119" s="17">
        <v>0</v>
      </c>
      <c r="L119" s="17"/>
      <c r="M119" s="22">
        <v>0</v>
      </c>
      <c r="N119" s="17"/>
      <c r="O119" s="22">
        <v>0</v>
      </c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>
        <v>0</v>
      </c>
      <c r="I120" s="17"/>
      <c r="J120" s="17">
        <v>0</v>
      </c>
      <c r="K120" s="17"/>
      <c r="L120" s="17">
        <v>0</v>
      </c>
      <c r="M120" s="22"/>
      <c r="N120" s="17">
        <v>0</v>
      </c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>
        <v>0</v>
      </c>
      <c r="J121" s="17"/>
      <c r="K121" s="17">
        <v>0</v>
      </c>
      <c r="L121" s="17"/>
      <c r="M121" s="22">
        <v>0</v>
      </c>
      <c r="N121" s="17"/>
      <c r="O121" s="22">
        <v>0</v>
      </c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>
        <v>0</v>
      </c>
      <c r="I122" s="17"/>
      <c r="J122" s="17">
        <v>0</v>
      </c>
      <c r="K122" s="17"/>
      <c r="L122" s="17">
        <v>0</v>
      </c>
      <c r="M122" s="22"/>
      <c r="N122" s="17">
        <v>0</v>
      </c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>
        <v>0</v>
      </c>
      <c r="J123" s="17"/>
      <c r="K123" s="17">
        <v>0</v>
      </c>
      <c r="L123" s="17"/>
      <c r="M123" s="22">
        <v>0</v>
      </c>
      <c r="N123" s="17"/>
      <c r="O123" s="22">
        <v>0</v>
      </c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>
        <v>0</v>
      </c>
      <c r="I124" s="17"/>
      <c r="J124" s="17">
        <v>0</v>
      </c>
      <c r="K124" s="17"/>
      <c r="L124" s="17">
        <v>0</v>
      </c>
      <c r="M124" s="22"/>
      <c r="N124" s="17">
        <v>0</v>
      </c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>
        <v>0</v>
      </c>
      <c r="J125" s="17"/>
      <c r="K125" s="17">
        <v>0</v>
      </c>
      <c r="L125" s="17"/>
      <c r="M125" s="22">
        <v>0</v>
      </c>
      <c r="N125" s="17"/>
      <c r="O125" s="22">
        <v>0</v>
      </c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>
        <v>0</v>
      </c>
      <c r="I126" s="17"/>
      <c r="J126" s="17">
        <v>0</v>
      </c>
      <c r="K126" s="17"/>
      <c r="L126" s="17">
        <v>0</v>
      </c>
      <c r="M126" s="22"/>
      <c r="N126" s="17">
        <v>0</v>
      </c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>
        <v>0</v>
      </c>
      <c r="J127" s="17"/>
      <c r="K127" s="17">
        <v>0</v>
      </c>
      <c r="L127" s="17"/>
      <c r="M127" s="22">
        <v>0</v>
      </c>
      <c r="N127" s="17"/>
      <c r="O127" s="22">
        <v>0</v>
      </c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>
        <v>0</v>
      </c>
      <c r="I128" s="17"/>
      <c r="J128" s="17">
        <v>0</v>
      </c>
      <c r="K128" s="17"/>
      <c r="L128" s="17">
        <v>0</v>
      </c>
      <c r="M128" s="22"/>
      <c r="N128" s="17">
        <v>0</v>
      </c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>
        <v>0</v>
      </c>
      <c r="J129" s="17"/>
      <c r="K129" s="17">
        <v>0</v>
      </c>
      <c r="L129" s="17"/>
      <c r="M129" s="22">
        <v>0</v>
      </c>
      <c r="N129" s="17"/>
      <c r="O129" s="22">
        <v>0</v>
      </c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>
        <v>0</v>
      </c>
      <c r="I130" s="17"/>
      <c r="J130" s="17">
        <v>0</v>
      </c>
      <c r="K130" s="17"/>
      <c r="L130" s="17">
        <v>0</v>
      </c>
      <c r="M130" s="22"/>
      <c r="N130" s="17">
        <v>0</v>
      </c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>
        <v>0</v>
      </c>
      <c r="J131" s="17"/>
      <c r="K131" s="17">
        <v>0</v>
      </c>
      <c r="L131" s="17"/>
      <c r="M131" s="22">
        <v>0</v>
      </c>
      <c r="N131" s="17"/>
      <c r="O131" s="22">
        <v>0</v>
      </c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>
        <v>0</v>
      </c>
      <c r="I132" s="17"/>
      <c r="J132" s="17">
        <v>0</v>
      </c>
      <c r="K132" s="17"/>
      <c r="L132" s="17">
        <v>0</v>
      </c>
      <c r="M132" s="22"/>
      <c r="N132" s="17">
        <v>0</v>
      </c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>
        <v>0</v>
      </c>
      <c r="J133" s="17"/>
      <c r="K133" s="17">
        <v>0</v>
      </c>
      <c r="L133" s="17"/>
      <c r="M133" s="22">
        <v>0</v>
      </c>
      <c r="N133" s="17"/>
      <c r="O133" s="22">
        <v>0</v>
      </c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>
        <v>0</v>
      </c>
      <c r="I134" s="17"/>
      <c r="J134" s="17">
        <v>0</v>
      </c>
      <c r="K134" s="17"/>
      <c r="L134" s="17">
        <v>0</v>
      </c>
      <c r="M134" s="22"/>
      <c r="N134" s="17">
        <v>0</v>
      </c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>
        <v>0</v>
      </c>
      <c r="J135" s="17"/>
      <c r="K135" s="17">
        <v>0</v>
      </c>
      <c r="L135" s="17"/>
      <c r="M135" s="22">
        <v>0</v>
      </c>
      <c r="N135" s="17"/>
      <c r="O135" s="22">
        <v>0</v>
      </c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>
        <v>0</v>
      </c>
      <c r="I136" s="17"/>
      <c r="J136" s="17">
        <v>0</v>
      </c>
      <c r="K136" s="17"/>
      <c r="L136" s="17">
        <v>0</v>
      </c>
      <c r="M136" s="22"/>
      <c r="N136" s="17">
        <v>0</v>
      </c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>
        <v>0</v>
      </c>
      <c r="J137" s="17"/>
      <c r="K137" s="17">
        <v>0</v>
      </c>
      <c r="L137" s="17"/>
      <c r="M137" s="22">
        <v>0</v>
      </c>
      <c r="N137" s="17"/>
      <c r="O137" s="22">
        <v>0</v>
      </c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>
        <v>0</v>
      </c>
      <c r="I138" s="17"/>
      <c r="J138" s="17">
        <v>0</v>
      </c>
      <c r="K138" s="17"/>
      <c r="L138" s="17">
        <v>0</v>
      </c>
      <c r="M138" s="22"/>
      <c r="N138" s="17">
        <v>0</v>
      </c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>
        <v>0</v>
      </c>
      <c r="J139" s="17"/>
      <c r="K139" s="17">
        <v>0</v>
      </c>
      <c r="L139" s="17"/>
      <c r="M139" s="22">
        <v>0</v>
      </c>
      <c r="N139" s="17"/>
      <c r="O139" s="22">
        <v>0</v>
      </c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>
        <v>0</v>
      </c>
      <c r="I140" s="17"/>
      <c r="J140" s="17">
        <v>0</v>
      </c>
      <c r="K140" s="17"/>
      <c r="L140" s="17">
        <v>0</v>
      </c>
      <c r="M140" s="22"/>
      <c r="N140" s="17">
        <v>0</v>
      </c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1721.92</v>
      </c>
      <c r="F141" s="17"/>
      <c r="G141" s="17">
        <v>0</v>
      </c>
      <c r="H141" s="16"/>
      <c r="I141" s="17">
        <v>1721.92</v>
      </c>
      <c r="J141" s="17"/>
      <c r="K141" s="17">
        <v>0</v>
      </c>
      <c r="L141" s="17"/>
      <c r="M141" s="50">
        <f>(L140+L142)/2*25</f>
        <v>1694.5275</v>
      </c>
      <c r="N141" s="17"/>
      <c r="O141" s="22">
        <v>0</v>
      </c>
      <c r="P141" s="19">
        <f t="shared" si="21"/>
        <v>27.3925000000002</v>
      </c>
    </row>
    <row r="142" ht="12" customHeight="1" spans="1:16">
      <c r="A142" s="14">
        <v>67</v>
      </c>
      <c r="B142" s="15" t="s">
        <v>82</v>
      </c>
      <c r="C142" s="18"/>
      <c r="D142" s="16">
        <v>137.75</v>
      </c>
      <c r="E142" s="17"/>
      <c r="F142" s="17">
        <v>0</v>
      </c>
      <c r="G142" s="17"/>
      <c r="H142" s="16">
        <v>137.75</v>
      </c>
      <c r="I142" s="17"/>
      <c r="J142" s="17">
        <v>0</v>
      </c>
      <c r="K142" s="17"/>
      <c r="L142" s="17">
        <v>135.5622</v>
      </c>
      <c r="M142" s="50"/>
      <c r="N142" s="17">
        <v>0</v>
      </c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4475.91</v>
      </c>
      <c r="F143" s="17"/>
      <c r="G143" s="17">
        <v>0</v>
      </c>
      <c r="H143" s="16"/>
      <c r="I143" s="17">
        <v>4475.91</v>
      </c>
      <c r="J143" s="17"/>
      <c r="K143" s="17">
        <v>0</v>
      </c>
      <c r="L143" s="17"/>
      <c r="M143" s="50">
        <f>(L142+L144)/2*25</f>
        <v>4381.095</v>
      </c>
      <c r="N143" s="17"/>
      <c r="O143" s="22">
        <v>0</v>
      </c>
      <c r="P143" s="19">
        <f t="shared" si="21"/>
        <v>94.8149999999996</v>
      </c>
    </row>
    <row r="144" ht="12" customHeight="1" spans="1:16">
      <c r="A144" s="14">
        <v>68</v>
      </c>
      <c r="B144" s="15" t="s">
        <v>83</v>
      </c>
      <c r="C144" s="18"/>
      <c r="D144" s="16">
        <v>220.32</v>
      </c>
      <c r="E144" s="17"/>
      <c r="F144" s="17">
        <v>0</v>
      </c>
      <c r="G144" s="17"/>
      <c r="H144" s="16">
        <v>220.32</v>
      </c>
      <c r="I144" s="17"/>
      <c r="J144" s="17">
        <v>0</v>
      </c>
      <c r="K144" s="17"/>
      <c r="L144" s="17">
        <v>214.9254</v>
      </c>
      <c r="M144" s="50"/>
      <c r="N144" s="17">
        <v>0</v>
      </c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5934.05</v>
      </c>
      <c r="F145" s="17"/>
      <c r="G145" s="17">
        <v>292.4</v>
      </c>
      <c r="H145" s="16"/>
      <c r="I145" s="17">
        <v>5934.05</v>
      </c>
      <c r="J145" s="17"/>
      <c r="K145" s="17">
        <v>292.4</v>
      </c>
      <c r="L145" s="17"/>
      <c r="M145" s="50">
        <f>(L144+L146)/2*25</f>
        <v>5812.2</v>
      </c>
      <c r="N145" s="17"/>
      <c r="O145" s="22">
        <v>292.4</v>
      </c>
      <c r="P145" s="19">
        <f t="shared" ref="P145:P149" si="22">I145+K145-M145-O145</f>
        <v>121.85</v>
      </c>
    </row>
    <row r="146" ht="12" customHeight="1" spans="1:16">
      <c r="A146" s="14">
        <v>69</v>
      </c>
      <c r="B146" s="15" t="s">
        <v>84</v>
      </c>
      <c r="C146" s="18"/>
      <c r="D146" s="16">
        <v>254.41</v>
      </c>
      <c r="E146" s="17"/>
      <c r="F146" s="17">
        <v>23.39</v>
      </c>
      <c r="G146" s="17"/>
      <c r="H146" s="16">
        <v>254.41</v>
      </c>
      <c r="I146" s="17"/>
      <c r="J146" s="17">
        <v>23.39</v>
      </c>
      <c r="K146" s="17"/>
      <c r="L146" s="17">
        <v>250.0506</v>
      </c>
      <c r="M146" s="50"/>
      <c r="N146" s="17">
        <v>23.39</v>
      </c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8136</v>
      </c>
      <c r="F147" s="17"/>
      <c r="G147" s="17">
        <v>928.11</v>
      </c>
      <c r="H147" s="16"/>
      <c r="I147" s="17">
        <v>8136</v>
      </c>
      <c r="J147" s="17"/>
      <c r="K147" s="17">
        <v>928.11</v>
      </c>
      <c r="L147" s="17"/>
      <c r="M147" s="50">
        <f>(L146+L148)/2*25</f>
        <v>8022.4125</v>
      </c>
      <c r="N147" s="17"/>
      <c r="O147" s="22">
        <v>928.11</v>
      </c>
      <c r="P147" s="19">
        <f t="shared" si="22"/>
        <v>113.5875</v>
      </c>
    </row>
    <row r="148" ht="12" customHeight="1" spans="1:16">
      <c r="A148" s="14">
        <v>70</v>
      </c>
      <c r="B148" s="15" t="s">
        <v>85</v>
      </c>
      <c r="C148" s="18"/>
      <c r="D148" s="16">
        <v>396.47</v>
      </c>
      <c r="E148" s="17"/>
      <c r="F148" s="17">
        <v>50.86</v>
      </c>
      <c r="G148" s="17"/>
      <c r="H148" s="16">
        <v>396.47</v>
      </c>
      <c r="I148" s="17"/>
      <c r="J148" s="17">
        <v>50.86</v>
      </c>
      <c r="K148" s="17"/>
      <c r="L148" s="17">
        <v>391.7424</v>
      </c>
      <c r="M148" s="50"/>
      <c r="N148" s="17">
        <v>50.86</v>
      </c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9965.2</v>
      </c>
      <c r="F149" s="17"/>
      <c r="G149" s="17">
        <v>1311.56</v>
      </c>
      <c r="H149" s="16"/>
      <c r="I149" s="17">
        <v>9965.2</v>
      </c>
      <c r="J149" s="17"/>
      <c r="K149" s="17">
        <v>1311.56</v>
      </c>
      <c r="L149" s="17"/>
      <c r="M149" s="50">
        <f>(L148+L150)/2*25</f>
        <v>9803.1675</v>
      </c>
      <c r="N149" s="17"/>
      <c r="O149" s="22">
        <v>1311.56</v>
      </c>
      <c r="P149" s="19">
        <f t="shared" si="22"/>
        <v>162.032499999999</v>
      </c>
    </row>
    <row r="150" ht="12" customHeight="1" spans="1:16">
      <c r="A150" s="14">
        <v>71</v>
      </c>
      <c r="B150" s="15" t="s">
        <v>86</v>
      </c>
      <c r="C150" s="18"/>
      <c r="D150" s="16">
        <v>400.74</v>
      </c>
      <c r="E150" s="17"/>
      <c r="F150" s="17">
        <v>54.07</v>
      </c>
      <c r="G150" s="17"/>
      <c r="H150" s="16">
        <v>400.74</v>
      </c>
      <c r="I150" s="17"/>
      <c r="J150" s="17">
        <v>54.07</v>
      </c>
      <c r="K150" s="17"/>
      <c r="L150" s="17">
        <v>392.511</v>
      </c>
      <c r="M150" s="50"/>
      <c r="N150" s="17">
        <v>54.07</v>
      </c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9890.03</v>
      </c>
      <c r="F151" s="17"/>
      <c r="G151" s="17">
        <v>1121.19</v>
      </c>
      <c r="H151" s="16"/>
      <c r="I151" s="17">
        <v>9890.03</v>
      </c>
      <c r="J151" s="17"/>
      <c r="K151" s="17">
        <v>1121.19</v>
      </c>
      <c r="L151" s="17"/>
      <c r="M151" s="50">
        <f>(L150+L152)/2*25</f>
        <v>9678.2775</v>
      </c>
      <c r="N151" s="17"/>
      <c r="O151" s="22">
        <v>1121.19</v>
      </c>
      <c r="P151" s="19">
        <f t="shared" ref="P151:P155" si="23">I151+K151-M151-O151</f>
        <v>211.752500000001</v>
      </c>
    </row>
    <row r="152" ht="12" customHeight="1" spans="1:16">
      <c r="A152" s="14">
        <v>72</v>
      </c>
      <c r="B152" s="15" t="s">
        <v>87</v>
      </c>
      <c r="C152" s="18"/>
      <c r="D152" s="16">
        <v>390.46</v>
      </c>
      <c r="E152" s="17"/>
      <c r="F152" s="17">
        <v>35.63</v>
      </c>
      <c r="G152" s="17"/>
      <c r="H152" s="16">
        <v>390.46</v>
      </c>
      <c r="I152" s="17"/>
      <c r="J152" s="17">
        <v>35.63</v>
      </c>
      <c r="K152" s="17"/>
      <c r="L152" s="17">
        <v>381.7512</v>
      </c>
      <c r="M152" s="50"/>
      <c r="N152" s="17">
        <v>35.63</v>
      </c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9896.2</v>
      </c>
      <c r="F153" s="17"/>
      <c r="G153" s="17">
        <v>750.41</v>
      </c>
      <c r="H153" s="16"/>
      <c r="I153" s="17">
        <v>9896.2</v>
      </c>
      <c r="J153" s="17"/>
      <c r="K153" s="17">
        <v>750.41</v>
      </c>
      <c r="L153" s="17"/>
      <c r="M153" s="50">
        <f>(L152+L154)/2*25</f>
        <v>9418.05</v>
      </c>
      <c r="N153" s="17"/>
      <c r="O153" s="22">
        <v>750.41</v>
      </c>
      <c r="P153" s="19">
        <f t="shared" si="23"/>
        <v>478.150000000001</v>
      </c>
    </row>
    <row r="154" ht="12" customHeight="1" spans="1:16">
      <c r="A154" s="14">
        <v>73</v>
      </c>
      <c r="B154" s="15" t="s">
        <v>88</v>
      </c>
      <c r="C154" s="18"/>
      <c r="D154" s="16">
        <v>401.24</v>
      </c>
      <c r="E154" s="17"/>
      <c r="F154" s="17">
        <v>24.41</v>
      </c>
      <c r="G154" s="17"/>
      <c r="H154" s="16">
        <v>401.24</v>
      </c>
      <c r="I154" s="17"/>
      <c r="J154" s="17">
        <v>24.41</v>
      </c>
      <c r="K154" s="17"/>
      <c r="L154" s="17">
        <v>371.6928</v>
      </c>
      <c r="M154" s="50"/>
      <c r="N154" s="17">
        <v>24.41</v>
      </c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8295.94</v>
      </c>
      <c r="F155" s="17"/>
      <c r="G155" s="17">
        <v>305.07</v>
      </c>
      <c r="H155" s="16"/>
      <c r="I155" s="17">
        <v>8295.94</v>
      </c>
      <c r="J155" s="17"/>
      <c r="K155" s="17">
        <v>305.07</v>
      </c>
      <c r="L155" s="17"/>
      <c r="M155" s="50">
        <f>(L154+L156)/2*25</f>
        <v>7522.2525</v>
      </c>
      <c r="N155" s="17"/>
      <c r="O155" s="22">
        <v>305.07</v>
      </c>
      <c r="P155" s="19">
        <f t="shared" si="23"/>
        <v>773.687500000002</v>
      </c>
    </row>
    <row r="156" ht="12" customHeight="1" spans="1:16">
      <c r="A156" s="14">
        <v>74</v>
      </c>
      <c r="B156" s="15" t="s">
        <v>89</v>
      </c>
      <c r="C156" s="18"/>
      <c r="D156" s="16">
        <v>262.44</v>
      </c>
      <c r="E156" s="17"/>
      <c r="F156" s="17">
        <v>0</v>
      </c>
      <c r="G156" s="17"/>
      <c r="H156" s="16">
        <v>262.44</v>
      </c>
      <c r="I156" s="17"/>
      <c r="J156" s="17">
        <v>0</v>
      </c>
      <c r="K156" s="17"/>
      <c r="L156" s="17">
        <v>230.0874</v>
      </c>
      <c r="M156" s="50"/>
      <c r="N156" s="17">
        <v>0</v>
      </c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5676.28</v>
      </c>
      <c r="F157" s="17"/>
      <c r="G157" s="17">
        <v>0</v>
      </c>
      <c r="H157" s="16"/>
      <c r="I157" s="17">
        <v>5676.28</v>
      </c>
      <c r="J157" s="17"/>
      <c r="K157" s="17">
        <v>0</v>
      </c>
      <c r="L157" s="17"/>
      <c r="M157" s="50">
        <f>(L156+L158)/2*25</f>
        <v>5017.905</v>
      </c>
      <c r="N157" s="17"/>
      <c r="O157" s="22">
        <v>0</v>
      </c>
      <c r="P157" s="19">
        <f t="shared" ref="P157:P161" si="24">I157+K157-M157-O157</f>
        <v>658.374999999999</v>
      </c>
    </row>
    <row r="158" ht="12" customHeight="1" spans="1:16">
      <c r="A158" s="14">
        <v>75</v>
      </c>
      <c r="B158" s="15" t="s">
        <v>90</v>
      </c>
      <c r="C158" s="18"/>
      <c r="D158" s="16">
        <v>191.66</v>
      </c>
      <c r="E158" s="17"/>
      <c r="F158" s="17">
        <v>0</v>
      </c>
      <c r="G158" s="17"/>
      <c r="H158" s="16">
        <v>191.66</v>
      </c>
      <c r="I158" s="17"/>
      <c r="J158" s="17">
        <v>0</v>
      </c>
      <c r="K158" s="17"/>
      <c r="L158" s="17">
        <v>171.345</v>
      </c>
      <c r="M158" s="50"/>
      <c r="N158" s="17">
        <v>0</v>
      </c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3806.64</v>
      </c>
      <c r="F159" s="17"/>
      <c r="G159" s="17">
        <v>0</v>
      </c>
      <c r="H159" s="16"/>
      <c r="I159" s="17">
        <v>3806.64</v>
      </c>
      <c r="J159" s="17"/>
      <c r="K159" s="17">
        <v>0</v>
      </c>
      <c r="L159" s="17"/>
      <c r="M159" s="50">
        <f>(L158+L160)/2*25</f>
        <v>3241.83</v>
      </c>
      <c r="N159" s="17"/>
      <c r="O159" s="22">
        <v>0</v>
      </c>
      <c r="P159" s="19">
        <f t="shared" si="24"/>
        <v>564.809999999999</v>
      </c>
    </row>
    <row r="160" ht="12" customHeight="1" spans="1:16">
      <c r="A160" s="14">
        <v>76</v>
      </c>
      <c r="B160" s="15" t="s">
        <v>91</v>
      </c>
      <c r="C160" s="18"/>
      <c r="D160" s="16">
        <v>112.87</v>
      </c>
      <c r="E160" s="17"/>
      <c r="F160" s="17">
        <v>0</v>
      </c>
      <c r="G160" s="17"/>
      <c r="H160" s="16">
        <v>112.87</v>
      </c>
      <c r="I160" s="17"/>
      <c r="J160" s="17">
        <v>0</v>
      </c>
      <c r="K160" s="17"/>
      <c r="L160" s="17">
        <v>88.0014</v>
      </c>
      <c r="M160" s="50"/>
      <c r="N160" s="17">
        <v>0</v>
      </c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1410.86</v>
      </c>
      <c r="F161" s="17"/>
      <c r="G161" s="17">
        <v>0</v>
      </c>
      <c r="H161" s="16"/>
      <c r="I161" s="17">
        <v>1410.86</v>
      </c>
      <c r="J161" s="17"/>
      <c r="K161" s="17">
        <v>0</v>
      </c>
      <c r="L161" s="17"/>
      <c r="M161" s="50">
        <f>(L160+L162)/2*25</f>
        <v>1100.0175</v>
      </c>
      <c r="N161" s="17"/>
      <c r="O161" s="22">
        <v>0</v>
      </c>
      <c r="P161" s="19">
        <f t="shared" si="24"/>
        <v>310.8425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>
        <v>0</v>
      </c>
      <c r="I162" s="17"/>
      <c r="J162" s="17">
        <v>0</v>
      </c>
      <c r="K162" s="17"/>
      <c r="L162" s="17">
        <v>0</v>
      </c>
      <c r="M162" s="50"/>
      <c r="N162" s="17">
        <v>0</v>
      </c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>
        <v>0</v>
      </c>
      <c r="J163" s="17"/>
      <c r="K163" s="17">
        <v>0</v>
      </c>
      <c r="L163" s="17"/>
      <c r="M163" s="22">
        <v>0</v>
      </c>
      <c r="N163" s="17"/>
      <c r="O163" s="22">
        <v>0</v>
      </c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>
        <v>0</v>
      </c>
      <c r="I164" s="17"/>
      <c r="J164" s="17">
        <v>0</v>
      </c>
      <c r="K164" s="17"/>
      <c r="L164" s="17">
        <v>0</v>
      </c>
      <c r="M164" s="22"/>
      <c r="N164" s="17">
        <v>0</v>
      </c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>
        <v>0</v>
      </c>
      <c r="J165" s="17"/>
      <c r="K165" s="17">
        <v>0</v>
      </c>
      <c r="L165" s="17"/>
      <c r="M165" s="22">
        <v>0</v>
      </c>
      <c r="N165" s="17"/>
      <c r="O165" s="22">
        <v>0</v>
      </c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>
        <v>0</v>
      </c>
      <c r="I166" s="17"/>
      <c r="J166" s="17">
        <v>0</v>
      </c>
      <c r="K166" s="17"/>
      <c r="L166" s="17">
        <v>0</v>
      </c>
      <c r="M166" s="22"/>
      <c r="N166" s="17">
        <v>0</v>
      </c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>
        <v>0</v>
      </c>
      <c r="J167" s="17"/>
      <c r="K167" s="17">
        <v>0</v>
      </c>
      <c r="L167" s="17"/>
      <c r="M167" s="22">
        <v>0</v>
      </c>
      <c r="N167" s="17"/>
      <c r="O167" s="22">
        <v>0</v>
      </c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>
        <v>0</v>
      </c>
      <c r="I168" s="17"/>
      <c r="J168" s="17">
        <v>0</v>
      </c>
      <c r="K168" s="17"/>
      <c r="L168" s="17">
        <v>0</v>
      </c>
      <c r="M168" s="22"/>
      <c r="N168" s="17">
        <v>0</v>
      </c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>
        <v>0</v>
      </c>
      <c r="J169" s="17"/>
      <c r="K169" s="17">
        <v>0</v>
      </c>
      <c r="L169" s="17"/>
      <c r="M169" s="22">
        <v>0</v>
      </c>
      <c r="N169" s="17"/>
      <c r="O169" s="22">
        <v>0</v>
      </c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>
        <v>0</v>
      </c>
      <c r="I170" s="17"/>
      <c r="J170" s="17">
        <v>0</v>
      </c>
      <c r="K170" s="17"/>
      <c r="L170" s="17">
        <v>0</v>
      </c>
      <c r="M170" s="22"/>
      <c r="N170" s="17">
        <v>0</v>
      </c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>
        <v>0</v>
      </c>
      <c r="J171" s="17"/>
      <c r="K171" s="17">
        <v>0</v>
      </c>
      <c r="L171" s="17"/>
      <c r="M171" s="22">
        <v>0</v>
      </c>
      <c r="N171" s="17"/>
      <c r="O171" s="22">
        <v>0</v>
      </c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>
        <v>0</v>
      </c>
      <c r="I172" s="17"/>
      <c r="J172" s="17">
        <v>0</v>
      </c>
      <c r="K172" s="17"/>
      <c r="L172" s="17">
        <v>0</v>
      </c>
      <c r="M172" s="22"/>
      <c r="N172" s="17">
        <v>0</v>
      </c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>
        <v>0</v>
      </c>
      <c r="J173" s="17"/>
      <c r="K173" s="17">
        <v>0</v>
      </c>
      <c r="L173" s="17"/>
      <c r="M173" s="22">
        <v>0</v>
      </c>
      <c r="N173" s="17"/>
      <c r="O173" s="22">
        <v>0</v>
      </c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>
        <v>0</v>
      </c>
      <c r="I174" s="17"/>
      <c r="J174" s="17">
        <v>0</v>
      </c>
      <c r="K174" s="17"/>
      <c r="L174" s="17">
        <v>0</v>
      </c>
      <c r="M174" s="22"/>
      <c r="N174" s="17">
        <v>0</v>
      </c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>
        <v>0</v>
      </c>
      <c r="J175" s="17"/>
      <c r="K175" s="17">
        <v>0</v>
      </c>
      <c r="L175" s="17"/>
      <c r="M175" s="22">
        <v>0</v>
      </c>
      <c r="N175" s="17"/>
      <c r="O175" s="22">
        <v>0</v>
      </c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>
        <v>0</v>
      </c>
      <c r="I176" s="17"/>
      <c r="J176" s="17">
        <v>0</v>
      </c>
      <c r="K176" s="17"/>
      <c r="L176" s="17">
        <v>0</v>
      </c>
      <c r="M176" s="22"/>
      <c r="N176" s="17">
        <v>0</v>
      </c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>
        <v>0</v>
      </c>
      <c r="J177" s="17"/>
      <c r="K177" s="17">
        <v>0</v>
      </c>
      <c r="L177" s="17"/>
      <c r="M177" s="22">
        <v>0</v>
      </c>
      <c r="N177" s="17"/>
      <c r="O177" s="22">
        <v>0</v>
      </c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>
        <v>0</v>
      </c>
      <c r="I178" s="17"/>
      <c r="J178" s="17">
        <v>0</v>
      </c>
      <c r="K178" s="17"/>
      <c r="L178" s="17">
        <v>0</v>
      </c>
      <c r="M178" s="22"/>
      <c r="N178" s="17">
        <v>0</v>
      </c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>
        <v>0</v>
      </c>
      <c r="J179" s="17"/>
      <c r="K179" s="17">
        <v>0</v>
      </c>
      <c r="L179" s="17"/>
      <c r="M179" s="22">
        <v>0</v>
      </c>
      <c r="N179" s="17"/>
      <c r="O179" s="22">
        <v>0</v>
      </c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>
        <v>0</v>
      </c>
      <c r="I180" s="17"/>
      <c r="J180" s="17">
        <v>0</v>
      </c>
      <c r="K180" s="17"/>
      <c r="L180" s="17">
        <v>0</v>
      </c>
      <c r="M180" s="22"/>
      <c r="N180" s="17">
        <v>0</v>
      </c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>
        <v>0</v>
      </c>
      <c r="J181" s="17"/>
      <c r="K181" s="17">
        <v>0</v>
      </c>
      <c r="L181" s="17"/>
      <c r="M181" s="22">
        <v>0</v>
      </c>
      <c r="N181" s="17"/>
      <c r="O181" s="22">
        <v>0</v>
      </c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>
        <v>0</v>
      </c>
      <c r="I182" s="17"/>
      <c r="J182" s="17">
        <v>0</v>
      </c>
      <c r="K182" s="17"/>
      <c r="L182" s="17">
        <v>0</v>
      </c>
      <c r="M182" s="22"/>
      <c r="N182" s="17">
        <v>0</v>
      </c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>
        <v>0</v>
      </c>
      <c r="J183" s="17"/>
      <c r="K183" s="17">
        <v>0</v>
      </c>
      <c r="L183" s="17"/>
      <c r="M183" s="22">
        <v>0</v>
      </c>
      <c r="N183" s="17"/>
      <c r="O183" s="22">
        <v>0</v>
      </c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>
        <v>0</v>
      </c>
      <c r="I184" s="17"/>
      <c r="J184" s="17">
        <v>0</v>
      </c>
      <c r="K184" s="17"/>
      <c r="L184" s="17">
        <v>0</v>
      </c>
      <c r="M184" s="22"/>
      <c r="N184" s="17">
        <v>0</v>
      </c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>
        <v>0</v>
      </c>
      <c r="J185" s="17"/>
      <c r="K185" s="17">
        <v>0</v>
      </c>
      <c r="L185" s="17"/>
      <c r="M185" s="22">
        <v>0</v>
      </c>
      <c r="N185" s="17"/>
      <c r="O185" s="22">
        <v>0</v>
      </c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>
        <v>0</v>
      </c>
      <c r="I186" s="17"/>
      <c r="J186" s="17">
        <v>0</v>
      </c>
      <c r="K186" s="17"/>
      <c r="L186" s="17">
        <v>0</v>
      </c>
      <c r="M186" s="22"/>
      <c r="N186" s="17">
        <v>0</v>
      </c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>
        <v>0</v>
      </c>
      <c r="J187" s="17"/>
      <c r="K187" s="17">
        <v>0</v>
      </c>
      <c r="L187" s="17"/>
      <c r="M187" s="22">
        <v>0</v>
      </c>
      <c r="N187" s="17"/>
      <c r="O187" s="22">
        <v>0</v>
      </c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>
        <v>0</v>
      </c>
      <c r="I188" s="17"/>
      <c r="J188" s="17">
        <v>0</v>
      </c>
      <c r="K188" s="17"/>
      <c r="L188" s="17">
        <v>0</v>
      </c>
      <c r="M188" s="22"/>
      <c r="N188" s="17">
        <v>0</v>
      </c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>
        <v>0</v>
      </c>
      <c r="J189" s="17"/>
      <c r="K189" s="17">
        <v>0</v>
      </c>
      <c r="L189" s="17"/>
      <c r="M189" s="22">
        <v>0</v>
      </c>
      <c r="N189" s="17"/>
      <c r="O189" s="22">
        <v>0</v>
      </c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>
        <v>0</v>
      </c>
      <c r="I190" s="17"/>
      <c r="J190" s="17">
        <v>0</v>
      </c>
      <c r="K190" s="17"/>
      <c r="L190" s="17">
        <v>0</v>
      </c>
      <c r="M190" s="22"/>
      <c r="N190" s="17">
        <v>0</v>
      </c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>
        <v>0</v>
      </c>
      <c r="J191" s="17"/>
      <c r="K191" s="17">
        <v>0</v>
      </c>
      <c r="L191" s="17"/>
      <c r="M191" s="22">
        <v>0</v>
      </c>
      <c r="N191" s="17"/>
      <c r="O191" s="22">
        <v>0</v>
      </c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>
        <v>0</v>
      </c>
      <c r="I192" s="17"/>
      <c r="J192" s="17">
        <v>0</v>
      </c>
      <c r="K192" s="17"/>
      <c r="L192" s="17">
        <v>0</v>
      </c>
      <c r="M192" s="22"/>
      <c r="N192" s="17">
        <v>0</v>
      </c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>
        <v>0</v>
      </c>
      <c r="J193" s="17"/>
      <c r="K193" s="17">
        <v>0</v>
      </c>
      <c r="L193" s="17"/>
      <c r="M193" s="22">
        <v>0</v>
      </c>
      <c r="N193" s="17"/>
      <c r="O193" s="22">
        <v>0</v>
      </c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>
        <v>0</v>
      </c>
      <c r="I194" s="17"/>
      <c r="J194" s="17">
        <v>0</v>
      </c>
      <c r="K194" s="17"/>
      <c r="L194" s="17">
        <v>0</v>
      </c>
      <c r="M194" s="22"/>
      <c r="N194" s="17">
        <v>0</v>
      </c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>
        <v>0</v>
      </c>
      <c r="J195" s="17"/>
      <c r="K195" s="17">
        <v>0</v>
      </c>
      <c r="L195" s="17"/>
      <c r="M195" s="22">
        <v>0</v>
      </c>
      <c r="N195" s="17"/>
      <c r="O195" s="22">
        <v>0</v>
      </c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>
        <v>0</v>
      </c>
      <c r="I196" s="17"/>
      <c r="J196" s="17">
        <v>0</v>
      </c>
      <c r="K196" s="17"/>
      <c r="L196" s="17">
        <v>0</v>
      </c>
      <c r="M196" s="22"/>
      <c r="N196" s="17">
        <v>0</v>
      </c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0</v>
      </c>
      <c r="F197" s="17"/>
      <c r="G197" s="17">
        <v>0</v>
      </c>
      <c r="H197" s="16"/>
      <c r="I197" s="17">
        <v>0</v>
      </c>
      <c r="J197" s="17"/>
      <c r="K197" s="17">
        <v>0</v>
      </c>
      <c r="L197" s="17"/>
      <c r="M197" s="22">
        <v>0</v>
      </c>
      <c r="N197" s="17"/>
      <c r="O197" s="22">
        <v>0</v>
      </c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0</v>
      </c>
      <c r="E198" s="17"/>
      <c r="F198" s="17">
        <v>0</v>
      </c>
      <c r="G198" s="17"/>
      <c r="H198" s="16">
        <v>0</v>
      </c>
      <c r="I198" s="17"/>
      <c r="J198" s="17">
        <v>0</v>
      </c>
      <c r="K198" s="17"/>
      <c r="L198" s="17">
        <v>0</v>
      </c>
      <c r="M198" s="22"/>
      <c r="N198" s="17">
        <v>0</v>
      </c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0</v>
      </c>
      <c r="F199" s="17"/>
      <c r="G199" s="17">
        <v>0</v>
      </c>
      <c r="H199" s="16"/>
      <c r="I199" s="17">
        <v>0</v>
      </c>
      <c r="J199" s="17"/>
      <c r="K199" s="17">
        <v>0</v>
      </c>
      <c r="L199" s="17"/>
      <c r="M199" s="22">
        <v>0</v>
      </c>
      <c r="N199" s="17"/>
      <c r="O199" s="22">
        <v>0</v>
      </c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0</v>
      </c>
      <c r="E200" s="17"/>
      <c r="F200" s="17">
        <v>0</v>
      </c>
      <c r="G200" s="17"/>
      <c r="H200" s="16">
        <v>0</v>
      </c>
      <c r="I200" s="17"/>
      <c r="J200" s="17">
        <v>0</v>
      </c>
      <c r="K200" s="17"/>
      <c r="L200" s="17">
        <v>0</v>
      </c>
      <c r="M200" s="22"/>
      <c r="N200" s="17">
        <v>0</v>
      </c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0</v>
      </c>
      <c r="F201" s="17"/>
      <c r="G201" s="17">
        <v>0</v>
      </c>
      <c r="H201" s="16"/>
      <c r="I201" s="17">
        <v>0</v>
      </c>
      <c r="J201" s="17"/>
      <c r="K201" s="17">
        <v>0</v>
      </c>
      <c r="L201" s="17"/>
      <c r="M201" s="22">
        <v>0</v>
      </c>
      <c r="N201" s="17"/>
      <c r="O201" s="22">
        <v>0</v>
      </c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>
        <v>0</v>
      </c>
      <c r="I202" s="17"/>
      <c r="J202" s="17">
        <v>0</v>
      </c>
      <c r="K202" s="17"/>
      <c r="L202" s="17">
        <v>0</v>
      </c>
      <c r="M202" s="22"/>
      <c r="N202" s="17">
        <v>0</v>
      </c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>
        <v>0</v>
      </c>
      <c r="J203" s="17"/>
      <c r="K203" s="17">
        <v>0</v>
      </c>
      <c r="L203" s="17"/>
      <c r="M203" s="22">
        <v>0</v>
      </c>
      <c r="N203" s="17"/>
      <c r="O203" s="22">
        <v>0</v>
      </c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>
        <v>0</v>
      </c>
      <c r="I204" s="17"/>
      <c r="J204" s="17">
        <v>0</v>
      </c>
      <c r="K204" s="17"/>
      <c r="L204" s="17">
        <v>0</v>
      </c>
      <c r="M204" s="22"/>
      <c r="N204" s="17">
        <v>0</v>
      </c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>
        <v>0</v>
      </c>
      <c r="J205" s="17"/>
      <c r="K205" s="17">
        <v>0</v>
      </c>
      <c r="L205" s="17"/>
      <c r="M205" s="22">
        <v>0</v>
      </c>
      <c r="N205" s="17"/>
      <c r="O205" s="22">
        <v>0</v>
      </c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>
        <v>0</v>
      </c>
      <c r="I206" s="17"/>
      <c r="J206" s="17">
        <v>0</v>
      </c>
      <c r="K206" s="17"/>
      <c r="L206" s="17">
        <v>0</v>
      </c>
      <c r="M206" s="22"/>
      <c r="N206" s="17">
        <v>0</v>
      </c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0</v>
      </c>
      <c r="F207" s="17"/>
      <c r="G207" s="17">
        <v>0</v>
      </c>
      <c r="H207" s="16"/>
      <c r="I207" s="17">
        <v>0</v>
      </c>
      <c r="J207" s="17"/>
      <c r="K207" s="17">
        <v>0</v>
      </c>
      <c r="L207" s="17"/>
      <c r="M207" s="22">
        <v>0</v>
      </c>
      <c r="N207" s="17"/>
      <c r="O207" s="22">
        <v>0</v>
      </c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0</v>
      </c>
      <c r="E208" s="17"/>
      <c r="F208" s="17">
        <v>0</v>
      </c>
      <c r="G208" s="17"/>
      <c r="H208" s="16">
        <v>0</v>
      </c>
      <c r="I208" s="17"/>
      <c r="J208" s="17">
        <v>0</v>
      </c>
      <c r="K208" s="17"/>
      <c r="L208" s="17">
        <v>0</v>
      </c>
      <c r="M208" s="22"/>
      <c r="N208" s="17">
        <v>0</v>
      </c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0</v>
      </c>
      <c r="F209" s="17"/>
      <c r="G209" s="17">
        <v>0</v>
      </c>
      <c r="H209" s="16"/>
      <c r="I209" s="17">
        <v>0</v>
      </c>
      <c r="J209" s="17"/>
      <c r="K209" s="17">
        <v>0</v>
      </c>
      <c r="L209" s="17"/>
      <c r="M209" s="22">
        <v>0</v>
      </c>
      <c r="N209" s="17"/>
      <c r="O209" s="22">
        <v>0</v>
      </c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0</v>
      </c>
      <c r="E210" s="17"/>
      <c r="F210" s="17">
        <v>0</v>
      </c>
      <c r="G210" s="17"/>
      <c r="H210" s="16">
        <v>0</v>
      </c>
      <c r="I210" s="17"/>
      <c r="J210" s="17">
        <v>0</v>
      </c>
      <c r="K210" s="17"/>
      <c r="L210" s="17">
        <v>0</v>
      </c>
      <c r="M210" s="22"/>
      <c r="N210" s="17">
        <v>0</v>
      </c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0</v>
      </c>
      <c r="F211" s="17"/>
      <c r="G211" s="17">
        <v>0</v>
      </c>
      <c r="H211" s="16"/>
      <c r="I211" s="17">
        <v>0</v>
      </c>
      <c r="J211" s="17"/>
      <c r="K211" s="17">
        <v>0</v>
      </c>
      <c r="L211" s="17"/>
      <c r="M211" s="22">
        <v>0</v>
      </c>
      <c r="N211" s="17"/>
      <c r="O211" s="22">
        <v>0</v>
      </c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0</v>
      </c>
      <c r="E212" s="17"/>
      <c r="F212" s="17">
        <v>0</v>
      </c>
      <c r="G212" s="17"/>
      <c r="H212" s="16">
        <v>0</v>
      </c>
      <c r="I212" s="17"/>
      <c r="J212" s="17">
        <v>0</v>
      </c>
      <c r="K212" s="17"/>
      <c r="L212" s="17">
        <v>0</v>
      </c>
      <c r="M212" s="22"/>
      <c r="N212" s="17">
        <v>0</v>
      </c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0</v>
      </c>
      <c r="F213" s="17"/>
      <c r="G213" s="17">
        <v>0</v>
      </c>
      <c r="H213" s="16"/>
      <c r="I213" s="17">
        <v>0</v>
      </c>
      <c r="J213" s="17"/>
      <c r="K213" s="17">
        <v>0</v>
      </c>
      <c r="L213" s="17"/>
      <c r="M213" s="22">
        <v>0</v>
      </c>
      <c r="N213" s="17"/>
      <c r="O213" s="22">
        <v>0</v>
      </c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0</v>
      </c>
      <c r="E214" s="17"/>
      <c r="F214" s="17">
        <v>0</v>
      </c>
      <c r="G214" s="17"/>
      <c r="H214" s="16">
        <v>0</v>
      </c>
      <c r="I214" s="17"/>
      <c r="J214" s="17">
        <v>0</v>
      </c>
      <c r="K214" s="17"/>
      <c r="L214" s="17">
        <v>0</v>
      </c>
      <c r="M214" s="22"/>
      <c r="N214" s="17">
        <v>0</v>
      </c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0</v>
      </c>
      <c r="F215" s="17"/>
      <c r="G215" s="17">
        <v>0</v>
      </c>
      <c r="H215" s="16"/>
      <c r="I215" s="17">
        <v>0</v>
      </c>
      <c r="J215" s="17"/>
      <c r="K215" s="17">
        <v>0</v>
      </c>
      <c r="L215" s="17"/>
      <c r="M215" s="22">
        <v>0</v>
      </c>
      <c r="N215" s="17"/>
      <c r="O215" s="22">
        <v>0</v>
      </c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0</v>
      </c>
      <c r="E216" s="17"/>
      <c r="F216" s="17">
        <v>0</v>
      </c>
      <c r="G216" s="17"/>
      <c r="H216" s="16">
        <v>0</v>
      </c>
      <c r="I216" s="17"/>
      <c r="J216" s="17">
        <v>0</v>
      </c>
      <c r="K216" s="17"/>
      <c r="L216" s="17">
        <v>0</v>
      </c>
      <c r="M216" s="22"/>
      <c r="N216" s="17">
        <v>0</v>
      </c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0</v>
      </c>
      <c r="F217" s="17"/>
      <c r="G217" s="17">
        <v>0</v>
      </c>
      <c r="H217" s="16"/>
      <c r="I217" s="17">
        <v>0</v>
      </c>
      <c r="J217" s="17"/>
      <c r="K217" s="17">
        <v>0</v>
      </c>
      <c r="L217" s="17"/>
      <c r="M217" s="22">
        <v>0</v>
      </c>
      <c r="N217" s="17"/>
      <c r="O217" s="22">
        <v>0</v>
      </c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>
        <v>0</v>
      </c>
      <c r="I218" s="17"/>
      <c r="J218" s="17">
        <v>0</v>
      </c>
      <c r="K218" s="17"/>
      <c r="L218" s="17">
        <v>0</v>
      </c>
      <c r="M218" s="22"/>
      <c r="N218" s="17">
        <v>0</v>
      </c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0</v>
      </c>
      <c r="F219" s="17"/>
      <c r="G219" s="17">
        <v>0</v>
      </c>
      <c r="H219" s="16"/>
      <c r="I219" s="17">
        <v>0</v>
      </c>
      <c r="J219" s="17"/>
      <c r="K219" s="17">
        <v>0</v>
      </c>
      <c r="L219" s="17"/>
      <c r="M219" s="22">
        <v>0</v>
      </c>
      <c r="N219" s="17"/>
      <c r="O219" s="22">
        <v>0</v>
      </c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0</v>
      </c>
      <c r="E220" s="17"/>
      <c r="F220" s="17">
        <v>0</v>
      </c>
      <c r="G220" s="17"/>
      <c r="H220" s="16">
        <v>0</v>
      </c>
      <c r="I220" s="17"/>
      <c r="J220" s="17">
        <v>0</v>
      </c>
      <c r="K220" s="17"/>
      <c r="L220" s="17">
        <v>0</v>
      </c>
      <c r="M220" s="22"/>
      <c r="N220" s="17">
        <v>0</v>
      </c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0</v>
      </c>
      <c r="F221" s="17"/>
      <c r="G221" s="17">
        <v>0</v>
      </c>
      <c r="H221" s="16"/>
      <c r="I221" s="17">
        <v>0</v>
      </c>
      <c r="J221" s="17"/>
      <c r="K221" s="17">
        <v>0</v>
      </c>
      <c r="L221" s="17"/>
      <c r="M221" s="22">
        <v>0</v>
      </c>
      <c r="N221" s="17"/>
      <c r="O221" s="22">
        <v>0</v>
      </c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0</v>
      </c>
      <c r="E222" s="17"/>
      <c r="F222" s="17">
        <v>0</v>
      </c>
      <c r="G222" s="17"/>
      <c r="H222" s="16">
        <v>0</v>
      </c>
      <c r="I222" s="17"/>
      <c r="J222" s="17">
        <v>0</v>
      </c>
      <c r="K222" s="17"/>
      <c r="L222" s="17">
        <v>0</v>
      </c>
      <c r="M222" s="22"/>
      <c r="N222" s="17">
        <v>0</v>
      </c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0</v>
      </c>
      <c r="F223" s="17"/>
      <c r="G223" s="17">
        <v>0</v>
      </c>
      <c r="H223" s="16"/>
      <c r="I223" s="17">
        <v>0</v>
      </c>
      <c r="J223" s="17"/>
      <c r="K223" s="17">
        <v>0</v>
      </c>
      <c r="L223" s="17"/>
      <c r="M223" s="22">
        <v>0</v>
      </c>
      <c r="N223" s="17"/>
      <c r="O223" s="22">
        <v>0</v>
      </c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0</v>
      </c>
      <c r="E224" s="17"/>
      <c r="F224" s="17">
        <v>0</v>
      </c>
      <c r="G224" s="17"/>
      <c r="H224" s="16">
        <v>0</v>
      </c>
      <c r="I224" s="17"/>
      <c r="J224" s="17">
        <v>0</v>
      </c>
      <c r="K224" s="17"/>
      <c r="L224" s="17">
        <v>0</v>
      </c>
      <c r="M224" s="22"/>
      <c r="N224" s="17">
        <v>0</v>
      </c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0</v>
      </c>
      <c r="F225" s="17"/>
      <c r="G225" s="17">
        <v>0</v>
      </c>
      <c r="H225" s="16"/>
      <c r="I225" s="17">
        <v>0</v>
      </c>
      <c r="J225" s="17"/>
      <c r="K225" s="17">
        <v>0</v>
      </c>
      <c r="L225" s="17"/>
      <c r="M225" s="22">
        <v>0</v>
      </c>
      <c r="N225" s="17"/>
      <c r="O225" s="22">
        <v>0</v>
      </c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>
        <v>0</v>
      </c>
      <c r="I226" s="17"/>
      <c r="J226" s="17">
        <v>0</v>
      </c>
      <c r="K226" s="17"/>
      <c r="L226" s="17">
        <v>0</v>
      </c>
      <c r="M226" s="22"/>
      <c r="N226" s="17">
        <v>0</v>
      </c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>
        <v>0</v>
      </c>
      <c r="J227" s="17"/>
      <c r="K227" s="17">
        <v>0</v>
      </c>
      <c r="L227" s="17"/>
      <c r="M227" s="22">
        <v>0</v>
      </c>
      <c r="N227" s="17"/>
      <c r="O227" s="22">
        <v>0</v>
      </c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>
        <v>0</v>
      </c>
      <c r="I228" s="17"/>
      <c r="J228" s="17">
        <v>0</v>
      </c>
      <c r="K228" s="17"/>
      <c r="L228" s="17">
        <v>0</v>
      </c>
      <c r="M228" s="22"/>
      <c r="N228" s="17">
        <v>0</v>
      </c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>
        <v>0</v>
      </c>
      <c r="J229" s="17"/>
      <c r="K229" s="17">
        <v>0</v>
      </c>
      <c r="L229" s="17"/>
      <c r="M229" s="22">
        <v>0</v>
      </c>
      <c r="N229" s="17"/>
      <c r="O229" s="22">
        <v>0</v>
      </c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>
        <v>0</v>
      </c>
      <c r="I230" s="17"/>
      <c r="J230" s="17">
        <v>0</v>
      </c>
      <c r="K230" s="17"/>
      <c r="L230" s="17">
        <v>0</v>
      </c>
      <c r="M230" s="22"/>
      <c r="N230" s="17">
        <v>0</v>
      </c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>
        <v>0</v>
      </c>
      <c r="J231" s="17"/>
      <c r="K231" s="17">
        <v>0</v>
      </c>
      <c r="L231" s="17"/>
      <c r="M231" s="22">
        <v>0</v>
      </c>
      <c r="N231" s="17"/>
      <c r="O231" s="22">
        <v>0</v>
      </c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>
        <v>0</v>
      </c>
      <c r="I232" s="17"/>
      <c r="J232" s="17">
        <v>0</v>
      </c>
      <c r="K232" s="17"/>
      <c r="L232" s="17">
        <v>0</v>
      </c>
      <c r="M232" s="22"/>
      <c r="N232" s="17">
        <v>0</v>
      </c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>
        <v>0</v>
      </c>
      <c r="J233" s="17"/>
      <c r="K233" s="17">
        <v>0</v>
      </c>
      <c r="L233" s="17"/>
      <c r="M233" s="22">
        <v>0</v>
      </c>
      <c r="N233" s="17"/>
      <c r="O233" s="22">
        <v>0</v>
      </c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>
        <v>0</v>
      </c>
      <c r="I234" s="17"/>
      <c r="J234" s="17">
        <v>0</v>
      </c>
      <c r="K234" s="17"/>
      <c r="L234" s="17">
        <v>0</v>
      </c>
      <c r="M234" s="22"/>
      <c r="N234" s="17">
        <v>0</v>
      </c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>
        <v>0</v>
      </c>
      <c r="J235" s="17"/>
      <c r="K235" s="17">
        <v>0</v>
      </c>
      <c r="L235" s="17"/>
      <c r="M235" s="22">
        <v>0</v>
      </c>
      <c r="N235" s="17"/>
      <c r="O235" s="22">
        <v>0</v>
      </c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>
        <v>0</v>
      </c>
      <c r="I236" s="17"/>
      <c r="J236" s="17">
        <v>0</v>
      </c>
      <c r="K236" s="17"/>
      <c r="L236" s="17">
        <v>0</v>
      </c>
      <c r="M236" s="22"/>
      <c r="N236" s="17">
        <v>0</v>
      </c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>
        <v>0</v>
      </c>
      <c r="J237" s="17"/>
      <c r="K237" s="17">
        <v>0</v>
      </c>
      <c r="L237" s="17"/>
      <c r="M237" s="22">
        <v>0</v>
      </c>
      <c r="N237" s="17"/>
      <c r="O237" s="22">
        <v>0</v>
      </c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>
        <v>0</v>
      </c>
      <c r="I238" s="17"/>
      <c r="J238" s="17">
        <v>0</v>
      </c>
      <c r="K238" s="17"/>
      <c r="L238" s="17">
        <v>0</v>
      </c>
      <c r="M238" s="22"/>
      <c r="N238" s="17">
        <v>0</v>
      </c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>
        <v>0</v>
      </c>
      <c r="J239" s="17"/>
      <c r="K239" s="17">
        <v>0</v>
      </c>
      <c r="L239" s="17"/>
      <c r="M239" s="22">
        <v>0</v>
      </c>
      <c r="N239" s="17"/>
      <c r="O239" s="22">
        <v>0</v>
      </c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>
        <v>0</v>
      </c>
      <c r="I240" s="17"/>
      <c r="J240" s="17">
        <v>0</v>
      </c>
      <c r="K240" s="17"/>
      <c r="L240" s="17">
        <v>0</v>
      </c>
      <c r="M240" s="22"/>
      <c r="N240" s="17">
        <v>0</v>
      </c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>
        <v>0</v>
      </c>
      <c r="J241" s="17"/>
      <c r="K241" s="17">
        <v>0</v>
      </c>
      <c r="L241" s="17"/>
      <c r="M241" s="22">
        <v>0</v>
      </c>
      <c r="N241" s="17"/>
      <c r="O241" s="22">
        <v>0</v>
      </c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>
        <v>0</v>
      </c>
      <c r="I242" s="17"/>
      <c r="J242" s="17">
        <v>0</v>
      </c>
      <c r="K242" s="17"/>
      <c r="L242" s="17">
        <v>0</v>
      </c>
      <c r="M242" s="22"/>
      <c r="N242" s="17">
        <v>0</v>
      </c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>
        <v>0</v>
      </c>
      <c r="J243" s="17"/>
      <c r="K243" s="17">
        <v>0</v>
      </c>
      <c r="L243" s="17"/>
      <c r="M243" s="22">
        <v>0</v>
      </c>
      <c r="N243" s="17"/>
      <c r="O243" s="22">
        <v>0</v>
      </c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>
        <v>0</v>
      </c>
      <c r="I244" s="17"/>
      <c r="J244" s="17">
        <v>0</v>
      </c>
      <c r="K244" s="17"/>
      <c r="L244" s="17">
        <v>0</v>
      </c>
      <c r="M244" s="22"/>
      <c r="N244" s="17">
        <v>0</v>
      </c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>
        <v>0</v>
      </c>
      <c r="J245" s="17"/>
      <c r="K245" s="17">
        <v>0</v>
      </c>
      <c r="L245" s="17"/>
      <c r="M245" s="22">
        <v>0</v>
      </c>
      <c r="N245" s="17"/>
      <c r="O245" s="22">
        <v>0</v>
      </c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>
        <v>0</v>
      </c>
      <c r="I246" s="17"/>
      <c r="J246" s="17">
        <v>0</v>
      </c>
      <c r="K246" s="17"/>
      <c r="L246" s="17">
        <v>0</v>
      </c>
      <c r="M246" s="22"/>
      <c r="N246" s="17">
        <v>0</v>
      </c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>
        <v>0</v>
      </c>
      <c r="J247" s="17"/>
      <c r="K247" s="17">
        <v>0</v>
      </c>
      <c r="L247" s="17"/>
      <c r="M247" s="22">
        <v>0</v>
      </c>
      <c r="N247" s="17"/>
      <c r="O247" s="22">
        <v>0</v>
      </c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>
        <v>0</v>
      </c>
      <c r="I248" s="17"/>
      <c r="J248" s="17">
        <v>0</v>
      </c>
      <c r="K248" s="17"/>
      <c r="L248" s="17">
        <v>0</v>
      </c>
      <c r="M248" s="22"/>
      <c r="N248" s="17">
        <v>0</v>
      </c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0</v>
      </c>
      <c r="F249" s="17"/>
      <c r="G249" s="17">
        <v>0</v>
      </c>
      <c r="H249" s="16"/>
      <c r="I249" s="17">
        <v>0</v>
      </c>
      <c r="J249" s="17"/>
      <c r="K249" s="17">
        <v>0</v>
      </c>
      <c r="L249" s="17"/>
      <c r="M249" s="22">
        <v>0</v>
      </c>
      <c r="N249" s="17"/>
      <c r="O249" s="22">
        <v>0</v>
      </c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0</v>
      </c>
      <c r="E250" s="17"/>
      <c r="F250" s="17">
        <v>0</v>
      </c>
      <c r="G250" s="17"/>
      <c r="H250" s="16">
        <v>0</v>
      </c>
      <c r="I250" s="17"/>
      <c r="J250" s="17">
        <v>0</v>
      </c>
      <c r="K250" s="17"/>
      <c r="L250" s="17">
        <v>0</v>
      </c>
      <c r="M250" s="22"/>
      <c r="N250" s="17">
        <v>0</v>
      </c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0</v>
      </c>
      <c r="F251" s="17"/>
      <c r="G251" s="17">
        <v>0</v>
      </c>
      <c r="H251" s="16"/>
      <c r="I251" s="17">
        <v>0</v>
      </c>
      <c r="J251" s="17"/>
      <c r="K251" s="17">
        <v>0</v>
      </c>
      <c r="L251" s="17"/>
      <c r="M251" s="22">
        <v>0</v>
      </c>
      <c r="N251" s="17"/>
      <c r="O251" s="22">
        <v>0</v>
      </c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0</v>
      </c>
      <c r="E252" s="17"/>
      <c r="F252" s="17">
        <v>0</v>
      </c>
      <c r="G252" s="17"/>
      <c r="H252" s="16">
        <v>0</v>
      </c>
      <c r="I252" s="17"/>
      <c r="J252" s="17">
        <v>0</v>
      </c>
      <c r="K252" s="17"/>
      <c r="L252" s="17">
        <v>0</v>
      </c>
      <c r="M252" s="22"/>
      <c r="N252" s="17">
        <v>0</v>
      </c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0</v>
      </c>
      <c r="F253" s="17"/>
      <c r="G253" s="17">
        <v>0</v>
      </c>
      <c r="H253" s="16"/>
      <c r="I253" s="17">
        <v>0</v>
      </c>
      <c r="J253" s="17"/>
      <c r="K253" s="17">
        <v>0</v>
      </c>
      <c r="L253" s="17"/>
      <c r="M253" s="22">
        <v>0</v>
      </c>
      <c r="N253" s="17"/>
      <c r="O253" s="22">
        <v>0</v>
      </c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0</v>
      </c>
      <c r="E254" s="17"/>
      <c r="F254" s="17">
        <v>0</v>
      </c>
      <c r="G254" s="17"/>
      <c r="H254" s="16">
        <v>0</v>
      </c>
      <c r="I254" s="17"/>
      <c r="J254" s="17">
        <v>0</v>
      </c>
      <c r="K254" s="17"/>
      <c r="L254" s="17">
        <v>0</v>
      </c>
      <c r="M254" s="22"/>
      <c r="N254" s="17">
        <v>0</v>
      </c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0</v>
      </c>
      <c r="F255" s="17"/>
      <c r="G255" s="17">
        <v>0</v>
      </c>
      <c r="H255" s="16"/>
      <c r="I255" s="17">
        <v>0</v>
      </c>
      <c r="J255" s="17"/>
      <c r="K255" s="17">
        <v>0</v>
      </c>
      <c r="L255" s="17"/>
      <c r="M255" s="22">
        <v>0</v>
      </c>
      <c r="N255" s="17"/>
      <c r="O255" s="22">
        <v>0</v>
      </c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0</v>
      </c>
      <c r="E256" s="17"/>
      <c r="F256" s="17">
        <v>0</v>
      </c>
      <c r="G256" s="17"/>
      <c r="H256" s="16">
        <v>0</v>
      </c>
      <c r="I256" s="17"/>
      <c r="J256" s="17">
        <v>0</v>
      </c>
      <c r="K256" s="17"/>
      <c r="L256" s="17">
        <v>0</v>
      </c>
      <c r="M256" s="22"/>
      <c r="N256" s="17">
        <v>0</v>
      </c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0</v>
      </c>
      <c r="F257" s="17"/>
      <c r="G257" s="17">
        <v>0</v>
      </c>
      <c r="H257" s="16"/>
      <c r="I257" s="17">
        <v>0</v>
      </c>
      <c r="J257" s="17"/>
      <c r="K257" s="17">
        <v>0</v>
      </c>
      <c r="L257" s="17"/>
      <c r="M257" s="22">
        <v>0</v>
      </c>
      <c r="N257" s="17"/>
      <c r="O257" s="22">
        <v>0</v>
      </c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0</v>
      </c>
      <c r="E258" s="17"/>
      <c r="F258" s="17">
        <v>0</v>
      </c>
      <c r="G258" s="17"/>
      <c r="H258" s="16">
        <v>0</v>
      </c>
      <c r="I258" s="17"/>
      <c r="J258" s="17">
        <v>0</v>
      </c>
      <c r="K258" s="17"/>
      <c r="L258" s="17">
        <v>0</v>
      </c>
      <c r="M258" s="22"/>
      <c r="N258" s="17">
        <v>0</v>
      </c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0</v>
      </c>
      <c r="F259" s="17"/>
      <c r="G259" s="17">
        <v>0</v>
      </c>
      <c r="H259" s="16"/>
      <c r="I259" s="17">
        <v>0</v>
      </c>
      <c r="J259" s="17"/>
      <c r="K259" s="17">
        <v>0</v>
      </c>
      <c r="L259" s="17"/>
      <c r="M259" s="22">
        <v>0</v>
      </c>
      <c r="N259" s="17"/>
      <c r="O259" s="22">
        <v>0</v>
      </c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0</v>
      </c>
      <c r="E260" s="17"/>
      <c r="F260" s="17">
        <v>0</v>
      </c>
      <c r="G260" s="17"/>
      <c r="H260" s="16">
        <v>0</v>
      </c>
      <c r="I260" s="17"/>
      <c r="J260" s="17">
        <v>0</v>
      </c>
      <c r="K260" s="17"/>
      <c r="L260" s="17">
        <v>0</v>
      </c>
      <c r="M260" s="22"/>
      <c r="N260" s="17">
        <v>0</v>
      </c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0</v>
      </c>
      <c r="F261" s="17"/>
      <c r="G261" s="17">
        <v>0</v>
      </c>
      <c r="H261" s="16"/>
      <c r="I261" s="17">
        <v>0</v>
      </c>
      <c r="J261" s="17"/>
      <c r="K261" s="17">
        <v>0</v>
      </c>
      <c r="L261" s="17"/>
      <c r="M261" s="22">
        <v>0</v>
      </c>
      <c r="N261" s="17"/>
      <c r="O261" s="22">
        <v>0</v>
      </c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0</v>
      </c>
      <c r="E262" s="17"/>
      <c r="F262" s="17">
        <v>0</v>
      </c>
      <c r="G262" s="17"/>
      <c r="H262" s="16">
        <v>0</v>
      </c>
      <c r="I262" s="17"/>
      <c r="J262" s="17">
        <v>0</v>
      </c>
      <c r="K262" s="17"/>
      <c r="L262" s="17">
        <v>0</v>
      </c>
      <c r="M262" s="22"/>
      <c r="N262" s="17">
        <v>0</v>
      </c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0</v>
      </c>
      <c r="F263" s="17"/>
      <c r="G263" s="17">
        <v>0</v>
      </c>
      <c r="H263" s="16"/>
      <c r="I263" s="17">
        <v>0</v>
      </c>
      <c r="J263" s="17"/>
      <c r="K263" s="17">
        <v>0</v>
      </c>
      <c r="L263" s="17"/>
      <c r="M263" s="22">
        <v>0</v>
      </c>
      <c r="N263" s="17"/>
      <c r="O263" s="22">
        <v>0</v>
      </c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0</v>
      </c>
      <c r="E264" s="17"/>
      <c r="F264" s="17">
        <v>0</v>
      </c>
      <c r="G264" s="17"/>
      <c r="H264" s="16">
        <v>0</v>
      </c>
      <c r="I264" s="17"/>
      <c r="J264" s="17">
        <v>0</v>
      </c>
      <c r="K264" s="17"/>
      <c r="L264" s="17">
        <v>0</v>
      </c>
      <c r="M264" s="22"/>
      <c r="N264" s="17">
        <v>0</v>
      </c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0</v>
      </c>
      <c r="F265" s="17"/>
      <c r="G265" s="17">
        <v>0</v>
      </c>
      <c r="H265" s="16"/>
      <c r="I265" s="17">
        <v>0</v>
      </c>
      <c r="J265" s="17"/>
      <c r="K265" s="17">
        <v>0</v>
      </c>
      <c r="L265" s="17"/>
      <c r="M265" s="22">
        <v>0</v>
      </c>
      <c r="N265" s="17"/>
      <c r="O265" s="22">
        <v>0</v>
      </c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0</v>
      </c>
      <c r="E266" s="17"/>
      <c r="F266" s="17">
        <v>0</v>
      </c>
      <c r="G266" s="17"/>
      <c r="H266" s="16">
        <v>0</v>
      </c>
      <c r="I266" s="17"/>
      <c r="J266" s="17">
        <v>0</v>
      </c>
      <c r="K266" s="17"/>
      <c r="L266" s="17">
        <v>0</v>
      </c>
      <c r="M266" s="22"/>
      <c r="N266" s="17">
        <v>0</v>
      </c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0</v>
      </c>
      <c r="F267" s="17"/>
      <c r="G267" s="17">
        <v>0</v>
      </c>
      <c r="H267" s="16"/>
      <c r="I267" s="17">
        <v>0</v>
      </c>
      <c r="J267" s="17"/>
      <c r="K267" s="17">
        <v>0</v>
      </c>
      <c r="L267" s="17"/>
      <c r="M267" s="22">
        <v>0</v>
      </c>
      <c r="N267" s="17"/>
      <c r="O267" s="22">
        <v>0</v>
      </c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0</v>
      </c>
      <c r="E268" s="17"/>
      <c r="F268" s="17">
        <v>0</v>
      </c>
      <c r="G268" s="17"/>
      <c r="H268" s="16">
        <v>0</v>
      </c>
      <c r="I268" s="17"/>
      <c r="J268" s="17">
        <v>0</v>
      </c>
      <c r="K268" s="17"/>
      <c r="L268" s="17">
        <v>0</v>
      </c>
      <c r="M268" s="22"/>
      <c r="N268" s="17">
        <v>0</v>
      </c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0</v>
      </c>
      <c r="F269" s="17"/>
      <c r="G269" s="17">
        <v>0</v>
      </c>
      <c r="H269" s="16"/>
      <c r="I269" s="17">
        <v>0</v>
      </c>
      <c r="J269" s="17"/>
      <c r="K269" s="17">
        <v>0</v>
      </c>
      <c r="L269" s="17"/>
      <c r="M269" s="22">
        <v>0</v>
      </c>
      <c r="N269" s="17"/>
      <c r="O269" s="22">
        <v>0</v>
      </c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0</v>
      </c>
      <c r="E270" s="17"/>
      <c r="F270" s="17">
        <v>0</v>
      </c>
      <c r="G270" s="17"/>
      <c r="H270" s="16">
        <v>0</v>
      </c>
      <c r="I270" s="17"/>
      <c r="J270" s="17">
        <v>0</v>
      </c>
      <c r="K270" s="17"/>
      <c r="L270" s="17">
        <v>0</v>
      </c>
      <c r="M270" s="22"/>
      <c r="N270" s="17">
        <v>0</v>
      </c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0</v>
      </c>
      <c r="F271" s="17"/>
      <c r="G271" s="17">
        <v>0</v>
      </c>
      <c r="H271" s="16"/>
      <c r="I271" s="17">
        <v>0</v>
      </c>
      <c r="J271" s="17"/>
      <c r="K271" s="17">
        <v>0</v>
      </c>
      <c r="L271" s="17"/>
      <c r="M271" s="22">
        <v>0</v>
      </c>
      <c r="N271" s="17"/>
      <c r="O271" s="22">
        <v>0</v>
      </c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0</v>
      </c>
      <c r="E272" s="17"/>
      <c r="F272" s="17">
        <v>0</v>
      </c>
      <c r="G272" s="17"/>
      <c r="H272" s="16">
        <v>0</v>
      </c>
      <c r="I272" s="17"/>
      <c r="J272" s="17">
        <v>0</v>
      </c>
      <c r="K272" s="17"/>
      <c r="L272" s="17">
        <v>0</v>
      </c>
      <c r="M272" s="22"/>
      <c r="N272" s="17">
        <v>0</v>
      </c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0</v>
      </c>
      <c r="F273" s="17"/>
      <c r="G273" s="17">
        <v>0</v>
      </c>
      <c r="H273" s="16"/>
      <c r="I273" s="17">
        <v>0</v>
      </c>
      <c r="J273" s="17"/>
      <c r="K273" s="17">
        <v>0</v>
      </c>
      <c r="L273" s="17"/>
      <c r="M273" s="22">
        <v>0</v>
      </c>
      <c r="N273" s="17"/>
      <c r="O273" s="22">
        <v>0</v>
      </c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0</v>
      </c>
      <c r="E274" s="17"/>
      <c r="F274" s="17">
        <v>0</v>
      </c>
      <c r="G274" s="17"/>
      <c r="H274" s="16">
        <v>0</v>
      </c>
      <c r="I274" s="17"/>
      <c r="J274" s="17">
        <v>0</v>
      </c>
      <c r="K274" s="17"/>
      <c r="L274" s="17">
        <v>0</v>
      </c>
      <c r="M274" s="22"/>
      <c r="N274" s="17">
        <v>0</v>
      </c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0</v>
      </c>
      <c r="F275" s="17"/>
      <c r="G275" s="17">
        <v>0</v>
      </c>
      <c r="H275" s="16"/>
      <c r="I275" s="17">
        <v>0</v>
      </c>
      <c r="J275" s="17"/>
      <c r="K275" s="17">
        <v>0</v>
      </c>
      <c r="L275" s="17"/>
      <c r="M275" s="22">
        <v>0</v>
      </c>
      <c r="N275" s="17"/>
      <c r="O275" s="22">
        <v>0</v>
      </c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0</v>
      </c>
      <c r="E276" s="17"/>
      <c r="F276" s="17">
        <v>0</v>
      </c>
      <c r="G276" s="17"/>
      <c r="H276" s="16">
        <v>0</v>
      </c>
      <c r="I276" s="17"/>
      <c r="J276" s="17">
        <v>0</v>
      </c>
      <c r="K276" s="17"/>
      <c r="L276" s="17">
        <v>0</v>
      </c>
      <c r="M276" s="22"/>
      <c r="N276" s="17">
        <v>0</v>
      </c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0</v>
      </c>
      <c r="F277" s="17"/>
      <c r="G277" s="17">
        <v>0</v>
      </c>
      <c r="H277" s="16"/>
      <c r="I277" s="17">
        <v>0</v>
      </c>
      <c r="J277" s="17"/>
      <c r="K277" s="17">
        <v>0</v>
      </c>
      <c r="L277" s="17"/>
      <c r="M277" s="22">
        <v>0</v>
      </c>
      <c r="N277" s="17"/>
      <c r="O277" s="22">
        <v>0</v>
      </c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0</v>
      </c>
      <c r="E278" s="17"/>
      <c r="F278" s="17">
        <v>0</v>
      </c>
      <c r="G278" s="17"/>
      <c r="H278" s="16">
        <v>0</v>
      </c>
      <c r="I278" s="17"/>
      <c r="J278" s="17">
        <v>0</v>
      </c>
      <c r="K278" s="17"/>
      <c r="L278" s="17">
        <v>0</v>
      </c>
      <c r="M278" s="22"/>
      <c r="N278" s="17">
        <v>0</v>
      </c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0</v>
      </c>
      <c r="F279" s="17"/>
      <c r="G279" s="17">
        <v>0</v>
      </c>
      <c r="H279" s="16"/>
      <c r="I279" s="17">
        <v>0</v>
      </c>
      <c r="J279" s="17"/>
      <c r="K279" s="17">
        <v>0</v>
      </c>
      <c r="L279" s="17"/>
      <c r="M279" s="22">
        <v>0</v>
      </c>
      <c r="N279" s="17"/>
      <c r="O279" s="22">
        <v>0</v>
      </c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0</v>
      </c>
      <c r="E280" s="17"/>
      <c r="F280" s="17">
        <v>0</v>
      </c>
      <c r="G280" s="17"/>
      <c r="H280" s="16">
        <v>0</v>
      </c>
      <c r="I280" s="17"/>
      <c r="J280" s="17">
        <v>0</v>
      </c>
      <c r="K280" s="17"/>
      <c r="L280" s="17">
        <v>0</v>
      </c>
      <c r="M280" s="22"/>
      <c r="N280" s="17">
        <v>0</v>
      </c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0</v>
      </c>
      <c r="F281" s="17"/>
      <c r="G281" s="17">
        <v>0</v>
      </c>
      <c r="H281" s="16"/>
      <c r="I281" s="17">
        <v>0</v>
      </c>
      <c r="J281" s="17"/>
      <c r="K281" s="17">
        <v>0</v>
      </c>
      <c r="L281" s="17"/>
      <c r="M281" s="22">
        <v>0</v>
      </c>
      <c r="N281" s="17"/>
      <c r="O281" s="22">
        <v>0</v>
      </c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0</v>
      </c>
      <c r="E282" s="17"/>
      <c r="F282" s="17">
        <v>0</v>
      </c>
      <c r="G282" s="17"/>
      <c r="H282" s="16">
        <v>0</v>
      </c>
      <c r="I282" s="17"/>
      <c r="J282" s="17">
        <v>0</v>
      </c>
      <c r="K282" s="17"/>
      <c r="L282" s="17">
        <v>0</v>
      </c>
      <c r="M282" s="22"/>
      <c r="N282" s="17">
        <v>0</v>
      </c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0</v>
      </c>
      <c r="F283" s="17"/>
      <c r="G283" s="17">
        <v>0</v>
      </c>
      <c r="H283" s="16"/>
      <c r="I283" s="17">
        <v>0</v>
      </c>
      <c r="J283" s="17"/>
      <c r="K283" s="17">
        <v>0</v>
      </c>
      <c r="L283" s="17"/>
      <c r="M283" s="22">
        <v>0</v>
      </c>
      <c r="N283" s="17"/>
      <c r="O283" s="22">
        <v>0</v>
      </c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0</v>
      </c>
      <c r="E284" s="17"/>
      <c r="F284" s="17">
        <v>0</v>
      </c>
      <c r="G284" s="17"/>
      <c r="H284" s="16">
        <v>0</v>
      </c>
      <c r="I284" s="17"/>
      <c r="J284" s="17">
        <v>0</v>
      </c>
      <c r="K284" s="17"/>
      <c r="L284" s="17">
        <v>0</v>
      </c>
      <c r="M284" s="22"/>
      <c r="N284" s="17">
        <v>0</v>
      </c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0</v>
      </c>
      <c r="F285" s="17"/>
      <c r="G285" s="17">
        <v>0</v>
      </c>
      <c r="H285" s="16"/>
      <c r="I285" s="17">
        <v>0</v>
      </c>
      <c r="J285" s="17"/>
      <c r="K285" s="17">
        <v>0</v>
      </c>
      <c r="L285" s="17"/>
      <c r="M285" s="22">
        <v>0</v>
      </c>
      <c r="N285" s="17"/>
      <c r="O285" s="22">
        <v>0</v>
      </c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>
        <v>0</v>
      </c>
      <c r="I286" s="17"/>
      <c r="J286" s="17">
        <v>0</v>
      </c>
      <c r="K286" s="17"/>
      <c r="L286" s="17">
        <v>0</v>
      </c>
      <c r="M286" s="22"/>
      <c r="N286" s="17">
        <v>0</v>
      </c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>
        <v>0</v>
      </c>
      <c r="J287" s="17"/>
      <c r="K287" s="17">
        <v>0</v>
      </c>
      <c r="L287" s="17"/>
      <c r="M287" s="22">
        <v>0</v>
      </c>
      <c r="N287" s="17"/>
      <c r="O287" s="22">
        <v>0</v>
      </c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>
        <v>0</v>
      </c>
      <c r="I288" s="17"/>
      <c r="J288" s="17">
        <v>0</v>
      </c>
      <c r="K288" s="17"/>
      <c r="L288" s="17">
        <v>0</v>
      </c>
      <c r="M288" s="22"/>
      <c r="N288" s="17">
        <v>0</v>
      </c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>
        <v>0</v>
      </c>
      <c r="J289" s="17"/>
      <c r="K289" s="17">
        <v>0</v>
      </c>
      <c r="L289" s="17"/>
      <c r="M289" s="22">
        <v>0</v>
      </c>
      <c r="N289" s="17"/>
      <c r="O289" s="22">
        <v>0</v>
      </c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>
        <v>0</v>
      </c>
      <c r="I290" s="17"/>
      <c r="J290" s="17">
        <v>0</v>
      </c>
      <c r="K290" s="17"/>
      <c r="L290" s="17">
        <v>0</v>
      </c>
      <c r="M290" s="22"/>
      <c r="N290" s="17">
        <v>0</v>
      </c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0</v>
      </c>
      <c r="F291" s="17"/>
      <c r="G291" s="17">
        <v>0</v>
      </c>
      <c r="H291" s="16"/>
      <c r="I291" s="17">
        <v>0</v>
      </c>
      <c r="J291" s="17"/>
      <c r="K291" s="17">
        <v>0</v>
      </c>
      <c r="L291" s="17"/>
      <c r="M291" s="22">
        <v>0</v>
      </c>
      <c r="N291" s="17"/>
      <c r="O291" s="22">
        <v>0</v>
      </c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0</v>
      </c>
      <c r="E292" s="17"/>
      <c r="F292" s="17">
        <v>0</v>
      </c>
      <c r="G292" s="17"/>
      <c r="H292" s="16">
        <v>0</v>
      </c>
      <c r="I292" s="17"/>
      <c r="J292" s="17">
        <v>0</v>
      </c>
      <c r="K292" s="17"/>
      <c r="L292" s="17">
        <v>0</v>
      </c>
      <c r="M292" s="22"/>
      <c r="N292" s="17">
        <v>0</v>
      </c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0</v>
      </c>
      <c r="F293" s="17"/>
      <c r="G293" s="17">
        <v>0</v>
      </c>
      <c r="H293" s="16"/>
      <c r="I293" s="17">
        <v>0</v>
      </c>
      <c r="J293" s="17"/>
      <c r="K293" s="17">
        <v>0</v>
      </c>
      <c r="L293" s="17"/>
      <c r="M293" s="22">
        <v>0</v>
      </c>
      <c r="N293" s="17"/>
      <c r="O293" s="22">
        <v>0</v>
      </c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0</v>
      </c>
      <c r="E294" s="17"/>
      <c r="F294" s="17">
        <v>0</v>
      </c>
      <c r="G294" s="17"/>
      <c r="H294" s="16">
        <v>0</v>
      </c>
      <c r="I294" s="17"/>
      <c r="J294" s="17">
        <v>0</v>
      </c>
      <c r="K294" s="17"/>
      <c r="L294" s="17">
        <v>0</v>
      </c>
      <c r="M294" s="22"/>
      <c r="N294" s="17">
        <v>0</v>
      </c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0</v>
      </c>
      <c r="F295" s="17"/>
      <c r="G295" s="17">
        <v>0</v>
      </c>
      <c r="H295" s="16"/>
      <c r="I295" s="17">
        <v>0</v>
      </c>
      <c r="J295" s="17"/>
      <c r="K295" s="17">
        <v>0</v>
      </c>
      <c r="L295" s="17"/>
      <c r="M295" s="22">
        <v>0</v>
      </c>
      <c r="N295" s="17"/>
      <c r="O295" s="22">
        <v>0</v>
      </c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0</v>
      </c>
      <c r="E296" s="17"/>
      <c r="F296" s="17">
        <v>0</v>
      </c>
      <c r="G296" s="17"/>
      <c r="H296" s="16">
        <v>0</v>
      </c>
      <c r="I296" s="17"/>
      <c r="J296" s="17">
        <v>0</v>
      </c>
      <c r="K296" s="17"/>
      <c r="L296" s="17">
        <v>0</v>
      </c>
      <c r="M296" s="22"/>
      <c r="N296" s="17">
        <v>0</v>
      </c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0</v>
      </c>
      <c r="F297" s="17"/>
      <c r="G297" s="17">
        <v>0</v>
      </c>
      <c r="H297" s="16"/>
      <c r="I297" s="17">
        <v>0</v>
      </c>
      <c r="J297" s="17"/>
      <c r="K297" s="17">
        <v>0</v>
      </c>
      <c r="L297" s="17"/>
      <c r="M297" s="22">
        <v>0</v>
      </c>
      <c r="N297" s="17"/>
      <c r="O297" s="22">
        <v>0</v>
      </c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0</v>
      </c>
      <c r="E298" s="17"/>
      <c r="F298" s="17">
        <v>0</v>
      </c>
      <c r="G298" s="17"/>
      <c r="H298" s="16">
        <v>0</v>
      </c>
      <c r="I298" s="17"/>
      <c r="J298" s="17">
        <v>0</v>
      </c>
      <c r="K298" s="17"/>
      <c r="L298" s="17">
        <v>0</v>
      </c>
      <c r="M298" s="22"/>
      <c r="N298" s="17">
        <v>0</v>
      </c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0</v>
      </c>
      <c r="F299" s="17"/>
      <c r="G299" s="17">
        <v>0</v>
      </c>
      <c r="H299" s="16"/>
      <c r="I299" s="17">
        <v>0</v>
      </c>
      <c r="J299" s="17"/>
      <c r="K299" s="17">
        <v>0</v>
      </c>
      <c r="L299" s="17"/>
      <c r="M299" s="22">
        <v>0</v>
      </c>
      <c r="N299" s="17"/>
      <c r="O299" s="22">
        <v>0</v>
      </c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0</v>
      </c>
      <c r="E300" s="17"/>
      <c r="F300" s="17">
        <v>0</v>
      </c>
      <c r="G300" s="17"/>
      <c r="H300" s="16">
        <v>0</v>
      </c>
      <c r="I300" s="17"/>
      <c r="J300" s="17">
        <v>0</v>
      </c>
      <c r="K300" s="17"/>
      <c r="L300" s="17">
        <v>0</v>
      </c>
      <c r="M300" s="22"/>
      <c r="N300" s="17">
        <v>0</v>
      </c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0</v>
      </c>
      <c r="F301" s="17"/>
      <c r="G301" s="17">
        <v>0</v>
      </c>
      <c r="H301" s="16"/>
      <c r="I301" s="17">
        <v>0</v>
      </c>
      <c r="J301" s="17"/>
      <c r="K301" s="17">
        <v>0</v>
      </c>
      <c r="L301" s="17"/>
      <c r="M301" s="22">
        <v>0</v>
      </c>
      <c r="N301" s="17"/>
      <c r="O301" s="22">
        <v>0</v>
      </c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0</v>
      </c>
      <c r="E302" s="17"/>
      <c r="F302" s="17">
        <v>0</v>
      </c>
      <c r="G302" s="17"/>
      <c r="H302" s="16">
        <v>0</v>
      </c>
      <c r="I302" s="17"/>
      <c r="J302" s="17">
        <v>0</v>
      </c>
      <c r="K302" s="17"/>
      <c r="L302" s="17">
        <v>0</v>
      </c>
      <c r="M302" s="22"/>
      <c r="N302" s="17">
        <v>0</v>
      </c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0</v>
      </c>
      <c r="F303" s="17"/>
      <c r="G303" s="17">
        <v>0</v>
      </c>
      <c r="H303" s="16"/>
      <c r="I303" s="17">
        <v>0</v>
      </c>
      <c r="J303" s="17"/>
      <c r="K303" s="17">
        <v>0</v>
      </c>
      <c r="L303" s="17"/>
      <c r="M303" s="22">
        <v>0</v>
      </c>
      <c r="N303" s="17"/>
      <c r="O303" s="22">
        <v>0</v>
      </c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>
        <v>0</v>
      </c>
      <c r="I304" s="17"/>
      <c r="J304" s="17">
        <v>0</v>
      </c>
      <c r="K304" s="17"/>
      <c r="L304" s="17">
        <v>0</v>
      </c>
      <c r="M304" s="22"/>
      <c r="N304" s="17">
        <v>0</v>
      </c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>
        <v>0</v>
      </c>
      <c r="J305" s="17"/>
      <c r="K305" s="17">
        <v>0</v>
      </c>
      <c r="L305" s="17"/>
      <c r="M305" s="22">
        <v>0</v>
      </c>
      <c r="N305" s="17"/>
      <c r="O305" s="22">
        <v>0</v>
      </c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>
        <v>0</v>
      </c>
      <c r="I306" s="17"/>
      <c r="J306" s="17">
        <v>0</v>
      </c>
      <c r="K306" s="17"/>
      <c r="L306" s="17">
        <v>0</v>
      </c>
      <c r="M306" s="22"/>
      <c r="N306" s="17">
        <v>0</v>
      </c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>
        <v>0</v>
      </c>
      <c r="J307" s="17"/>
      <c r="K307" s="17">
        <v>0</v>
      </c>
      <c r="L307" s="17"/>
      <c r="M307" s="22">
        <v>0</v>
      </c>
      <c r="N307" s="17"/>
      <c r="O307" s="22">
        <v>0</v>
      </c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>
        <v>0</v>
      </c>
      <c r="I308" s="17"/>
      <c r="J308" s="17">
        <v>0</v>
      </c>
      <c r="K308" s="17"/>
      <c r="L308" s="17">
        <v>0</v>
      </c>
      <c r="M308" s="22"/>
      <c r="N308" s="17">
        <v>0</v>
      </c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>
        <v>0</v>
      </c>
      <c r="J309" s="17"/>
      <c r="K309" s="17">
        <v>0</v>
      </c>
      <c r="L309" s="17"/>
      <c r="M309" s="22">
        <v>0</v>
      </c>
      <c r="N309" s="17"/>
      <c r="O309" s="22">
        <v>0</v>
      </c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>
        <v>0</v>
      </c>
      <c r="I310" s="17"/>
      <c r="J310" s="17">
        <v>0</v>
      </c>
      <c r="K310" s="17"/>
      <c r="L310" s="17">
        <v>0</v>
      </c>
      <c r="M310" s="22"/>
      <c r="N310" s="17">
        <v>0</v>
      </c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>
        <v>0</v>
      </c>
      <c r="J311" s="17"/>
      <c r="K311" s="17">
        <v>0</v>
      </c>
      <c r="L311" s="17"/>
      <c r="M311" s="22">
        <v>0</v>
      </c>
      <c r="N311" s="17"/>
      <c r="O311" s="22">
        <v>0</v>
      </c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>
        <v>0</v>
      </c>
      <c r="I312" s="17"/>
      <c r="J312" s="17">
        <v>0</v>
      </c>
      <c r="K312" s="17"/>
      <c r="L312" s="17">
        <v>0</v>
      </c>
      <c r="M312" s="22"/>
      <c r="N312" s="17">
        <v>0</v>
      </c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>
        <v>0</v>
      </c>
      <c r="J313" s="17"/>
      <c r="K313" s="17">
        <v>0</v>
      </c>
      <c r="L313" s="17"/>
      <c r="M313" s="22">
        <v>0</v>
      </c>
      <c r="N313" s="17"/>
      <c r="O313" s="22">
        <v>0</v>
      </c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>
        <v>0</v>
      </c>
      <c r="I314" s="17"/>
      <c r="J314" s="17">
        <v>0</v>
      </c>
      <c r="K314" s="17"/>
      <c r="L314" s="17">
        <v>0</v>
      </c>
      <c r="M314" s="22"/>
      <c r="N314" s="17">
        <v>0</v>
      </c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>
        <v>0</v>
      </c>
      <c r="J315" s="17"/>
      <c r="K315" s="17">
        <v>0</v>
      </c>
      <c r="L315" s="17"/>
      <c r="M315" s="22">
        <v>0</v>
      </c>
      <c r="N315" s="17"/>
      <c r="O315" s="22">
        <v>0</v>
      </c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>
        <v>0</v>
      </c>
      <c r="I316" s="17"/>
      <c r="J316" s="17">
        <v>0</v>
      </c>
      <c r="K316" s="17"/>
      <c r="L316" s="17">
        <v>0</v>
      </c>
      <c r="M316" s="22"/>
      <c r="N316" s="17">
        <v>0</v>
      </c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>
        <v>0</v>
      </c>
      <c r="J317" s="17"/>
      <c r="K317" s="17">
        <v>0</v>
      </c>
      <c r="L317" s="17"/>
      <c r="M317" s="22">
        <v>0</v>
      </c>
      <c r="N317" s="17"/>
      <c r="O317" s="22">
        <v>0</v>
      </c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>
        <v>0</v>
      </c>
      <c r="I318" s="17"/>
      <c r="J318" s="17">
        <v>0</v>
      </c>
      <c r="K318" s="17"/>
      <c r="L318" s="17">
        <v>0</v>
      </c>
      <c r="M318" s="22"/>
      <c r="N318" s="17">
        <v>0</v>
      </c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>
        <v>0</v>
      </c>
      <c r="J319" s="17"/>
      <c r="K319" s="17">
        <v>0</v>
      </c>
      <c r="L319" s="17"/>
      <c r="M319" s="22">
        <v>0</v>
      </c>
      <c r="N319" s="17"/>
      <c r="O319" s="22">
        <v>0</v>
      </c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>
        <v>0</v>
      </c>
      <c r="I320" s="17"/>
      <c r="J320" s="17">
        <v>0</v>
      </c>
      <c r="K320" s="17"/>
      <c r="L320" s="17">
        <v>0</v>
      </c>
      <c r="M320" s="22"/>
      <c r="N320" s="17">
        <v>0</v>
      </c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>
        <v>0</v>
      </c>
      <c r="J321" s="17"/>
      <c r="K321" s="17">
        <v>0</v>
      </c>
      <c r="L321" s="17"/>
      <c r="M321" s="22">
        <v>0</v>
      </c>
      <c r="N321" s="17"/>
      <c r="O321" s="22">
        <v>0</v>
      </c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>
        <v>0</v>
      </c>
      <c r="I322" s="17"/>
      <c r="J322" s="17">
        <v>0</v>
      </c>
      <c r="K322" s="17"/>
      <c r="L322" s="17">
        <v>0</v>
      </c>
      <c r="M322" s="22"/>
      <c r="N322" s="17">
        <v>0</v>
      </c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>
        <v>0</v>
      </c>
      <c r="J323" s="17"/>
      <c r="K323" s="17">
        <v>0</v>
      </c>
      <c r="L323" s="17"/>
      <c r="M323" s="22">
        <v>0</v>
      </c>
      <c r="N323" s="17"/>
      <c r="O323" s="22">
        <v>0</v>
      </c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>
        <v>0</v>
      </c>
      <c r="I324" s="17"/>
      <c r="J324" s="17">
        <v>0</v>
      </c>
      <c r="K324" s="17"/>
      <c r="L324" s="17">
        <v>0</v>
      </c>
      <c r="M324" s="22"/>
      <c r="N324" s="17">
        <v>0</v>
      </c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>
        <v>0</v>
      </c>
      <c r="J325" s="17"/>
      <c r="K325" s="17">
        <v>0</v>
      </c>
      <c r="L325" s="17"/>
      <c r="M325" s="22">
        <v>0</v>
      </c>
      <c r="N325" s="17"/>
      <c r="O325" s="22">
        <v>0</v>
      </c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>
        <v>0</v>
      </c>
      <c r="I326" s="17"/>
      <c r="J326" s="17">
        <v>0</v>
      </c>
      <c r="K326" s="17"/>
      <c r="L326" s="17">
        <v>0</v>
      </c>
      <c r="M326" s="22"/>
      <c r="N326" s="17">
        <v>0</v>
      </c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>
        <v>0</v>
      </c>
      <c r="J327" s="17"/>
      <c r="K327" s="17">
        <v>0</v>
      </c>
      <c r="L327" s="17"/>
      <c r="M327" s="22">
        <v>0</v>
      </c>
      <c r="N327" s="17"/>
      <c r="O327" s="22">
        <v>0</v>
      </c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>
        <v>0</v>
      </c>
      <c r="I328" s="17"/>
      <c r="J328" s="17">
        <v>0</v>
      </c>
      <c r="K328" s="17"/>
      <c r="L328" s="17">
        <v>0</v>
      </c>
      <c r="M328" s="22"/>
      <c r="N328" s="17">
        <v>0</v>
      </c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>
        <v>0</v>
      </c>
      <c r="J329" s="17"/>
      <c r="K329" s="17">
        <v>0</v>
      </c>
      <c r="L329" s="17"/>
      <c r="M329" s="22">
        <v>0</v>
      </c>
      <c r="N329" s="17"/>
      <c r="O329" s="22">
        <v>0</v>
      </c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>
        <v>0</v>
      </c>
      <c r="I330" s="17"/>
      <c r="J330" s="17">
        <v>0</v>
      </c>
      <c r="K330" s="17"/>
      <c r="L330" s="17">
        <v>0</v>
      </c>
      <c r="M330" s="22"/>
      <c r="N330" s="17">
        <v>0</v>
      </c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>
        <v>0</v>
      </c>
      <c r="J331" s="17"/>
      <c r="K331" s="17">
        <v>0</v>
      </c>
      <c r="L331" s="17"/>
      <c r="M331" s="22">
        <v>0</v>
      </c>
      <c r="N331" s="17"/>
      <c r="O331" s="22">
        <v>0</v>
      </c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>
        <v>0</v>
      </c>
      <c r="I332" s="17"/>
      <c r="J332" s="17">
        <v>0</v>
      </c>
      <c r="K332" s="17"/>
      <c r="L332" s="17">
        <v>0</v>
      </c>
      <c r="M332" s="22"/>
      <c r="N332" s="17">
        <v>0</v>
      </c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>
        <v>0</v>
      </c>
      <c r="J333" s="17"/>
      <c r="K333" s="17">
        <v>0</v>
      </c>
      <c r="L333" s="17"/>
      <c r="M333" s="22">
        <v>0</v>
      </c>
      <c r="N333" s="17"/>
      <c r="O333" s="22">
        <v>0</v>
      </c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>
        <v>0</v>
      </c>
      <c r="I334" s="17"/>
      <c r="J334" s="17">
        <v>0</v>
      </c>
      <c r="K334" s="17"/>
      <c r="L334" s="17">
        <v>0</v>
      </c>
      <c r="M334" s="22"/>
      <c r="N334" s="17">
        <v>0</v>
      </c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>
        <v>0</v>
      </c>
      <c r="J335" s="17"/>
      <c r="K335" s="17">
        <v>0</v>
      </c>
      <c r="L335" s="17"/>
      <c r="M335" s="22">
        <v>0</v>
      </c>
      <c r="N335" s="17"/>
      <c r="O335" s="22">
        <v>0</v>
      </c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>
        <v>0</v>
      </c>
      <c r="I336" s="17"/>
      <c r="J336" s="17">
        <v>0</v>
      </c>
      <c r="K336" s="17"/>
      <c r="L336" s="17">
        <v>0</v>
      </c>
      <c r="M336" s="22"/>
      <c r="N336" s="17">
        <v>0</v>
      </c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317.13</v>
      </c>
      <c r="F337" s="17"/>
      <c r="G337" s="17">
        <v>59.88</v>
      </c>
      <c r="H337" s="16"/>
      <c r="I337" s="17">
        <v>317.13</v>
      </c>
      <c r="J337" s="17"/>
      <c r="K337" s="17">
        <v>59.88</v>
      </c>
      <c r="L337" s="17"/>
      <c r="M337" s="50">
        <f>(L336+L338)/2*25</f>
        <v>317.125</v>
      </c>
      <c r="N337" s="17"/>
      <c r="O337" s="22">
        <v>59.88</v>
      </c>
      <c r="P337" s="19">
        <f t="shared" ref="P337:P341" si="54">I337+K337-M337-O337</f>
        <v>0.00499999999998835</v>
      </c>
    </row>
    <row r="338" ht="12" customHeight="1" spans="1:16">
      <c r="A338" s="14">
        <v>165</v>
      </c>
      <c r="B338" s="15" t="s">
        <v>180</v>
      </c>
      <c r="C338" s="18"/>
      <c r="D338" s="16">
        <v>25.37</v>
      </c>
      <c r="E338" s="17"/>
      <c r="F338" s="17">
        <v>4.79</v>
      </c>
      <c r="G338" s="17"/>
      <c r="H338" s="16">
        <v>25.37</v>
      </c>
      <c r="I338" s="17"/>
      <c r="J338" s="17">
        <v>4.79</v>
      </c>
      <c r="K338" s="17"/>
      <c r="L338" s="17">
        <v>25.37</v>
      </c>
      <c r="M338" s="50"/>
      <c r="N338" s="17">
        <v>4.79</v>
      </c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1197.5</v>
      </c>
      <c r="F339" s="17"/>
      <c r="G339" s="17">
        <v>166.75</v>
      </c>
      <c r="H339" s="16"/>
      <c r="I339" s="17">
        <v>1197.5</v>
      </c>
      <c r="J339" s="17"/>
      <c r="K339" s="17">
        <v>166.75</v>
      </c>
      <c r="L339" s="17"/>
      <c r="M339" s="50">
        <f>(L338+L340)/2*25</f>
        <v>1197.5</v>
      </c>
      <c r="N339" s="17"/>
      <c r="O339" s="22">
        <v>166.75</v>
      </c>
      <c r="P339" s="19">
        <f t="shared" si="54"/>
        <v>-2.27373675443232e-13</v>
      </c>
    </row>
    <row r="340" ht="12" customHeight="1" spans="1:16">
      <c r="A340" s="14">
        <v>166</v>
      </c>
      <c r="B340" s="15" t="s">
        <v>181</v>
      </c>
      <c r="C340" s="18"/>
      <c r="D340" s="16">
        <v>70.43</v>
      </c>
      <c r="E340" s="17"/>
      <c r="F340" s="17">
        <v>8.55</v>
      </c>
      <c r="G340" s="17"/>
      <c r="H340" s="16">
        <v>70.43</v>
      </c>
      <c r="I340" s="17"/>
      <c r="J340" s="17">
        <v>8.55</v>
      </c>
      <c r="K340" s="17"/>
      <c r="L340" s="17">
        <v>70.43</v>
      </c>
      <c r="M340" s="50"/>
      <c r="N340" s="17">
        <v>8.55</v>
      </c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1596.38</v>
      </c>
      <c r="F341" s="17"/>
      <c r="G341" s="17">
        <v>274.25</v>
      </c>
      <c r="H341" s="16"/>
      <c r="I341" s="17">
        <v>1596.38</v>
      </c>
      <c r="J341" s="17"/>
      <c r="K341" s="17">
        <v>274.25</v>
      </c>
      <c r="L341" s="17"/>
      <c r="M341" s="50">
        <f>(L340+L342)/2*25</f>
        <v>1596.375</v>
      </c>
      <c r="N341" s="17"/>
      <c r="O341" s="22">
        <v>274.25</v>
      </c>
      <c r="P341" s="19">
        <f t="shared" si="54"/>
        <v>0.00500000000010914</v>
      </c>
    </row>
    <row r="342" ht="12" customHeight="1" spans="1:16">
      <c r="A342" s="14">
        <v>167</v>
      </c>
      <c r="B342" s="15" t="s">
        <v>182</v>
      </c>
      <c r="C342" s="18"/>
      <c r="D342" s="16">
        <v>57.28</v>
      </c>
      <c r="E342" s="17"/>
      <c r="F342" s="17">
        <v>13.39</v>
      </c>
      <c r="G342" s="17"/>
      <c r="H342" s="16">
        <v>57.28</v>
      </c>
      <c r="I342" s="17"/>
      <c r="J342" s="17">
        <v>13.39</v>
      </c>
      <c r="K342" s="17"/>
      <c r="L342" s="17">
        <v>57.28</v>
      </c>
      <c r="M342" s="50"/>
      <c r="N342" s="17">
        <v>13.39</v>
      </c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1386.38</v>
      </c>
      <c r="F343" s="17"/>
      <c r="G343" s="17">
        <v>334.75</v>
      </c>
      <c r="H343" s="16"/>
      <c r="I343" s="17">
        <v>1386.38</v>
      </c>
      <c r="J343" s="17"/>
      <c r="K343" s="17">
        <v>334.75</v>
      </c>
      <c r="L343" s="17"/>
      <c r="M343" s="50">
        <f>(L342+L344)/2*25</f>
        <v>1386.375</v>
      </c>
      <c r="N343" s="17"/>
      <c r="O343" s="22">
        <v>334.75</v>
      </c>
      <c r="P343" s="19">
        <f t="shared" ref="P343:P347" si="55">I343+K343-M343-O343</f>
        <v>0.00500000000010914</v>
      </c>
    </row>
    <row r="344" ht="12" customHeight="1" spans="1:16">
      <c r="A344" s="14">
        <v>168</v>
      </c>
      <c r="B344" s="15" t="s">
        <v>183</v>
      </c>
      <c r="C344" s="18"/>
      <c r="D344" s="16">
        <v>53.63</v>
      </c>
      <c r="E344" s="17"/>
      <c r="F344" s="17">
        <v>13.39</v>
      </c>
      <c r="G344" s="17"/>
      <c r="H344" s="16">
        <v>53.63</v>
      </c>
      <c r="I344" s="17"/>
      <c r="J344" s="17">
        <v>13.39</v>
      </c>
      <c r="K344" s="17"/>
      <c r="L344" s="17">
        <v>53.63</v>
      </c>
      <c r="M344" s="50"/>
      <c r="N344" s="17">
        <v>13.39</v>
      </c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1190.13</v>
      </c>
      <c r="F345" s="17"/>
      <c r="G345" s="17">
        <v>346.88</v>
      </c>
      <c r="H345" s="16"/>
      <c r="I345" s="17">
        <v>1190.13</v>
      </c>
      <c r="J345" s="17"/>
      <c r="K345" s="17">
        <v>346.88</v>
      </c>
      <c r="L345" s="17"/>
      <c r="M345" s="50">
        <f>(L344+L346)/2*25</f>
        <v>1190.125</v>
      </c>
      <c r="N345" s="17"/>
      <c r="O345" s="22">
        <v>346.88</v>
      </c>
      <c r="P345" s="19">
        <f t="shared" si="55"/>
        <v>0.00500000000022283</v>
      </c>
    </row>
    <row r="346" ht="12" customHeight="1" spans="1:16">
      <c r="A346" s="14">
        <v>169</v>
      </c>
      <c r="B346" s="15" t="s">
        <v>184</v>
      </c>
      <c r="C346" s="18"/>
      <c r="D346" s="16">
        <v>41.58</v>
      </c>
      <c r="E346" s="17"/>
      <c r="F346" s="17">
        <v>14.36</v>
      </c>
      <c r="G346" s="17"/>
      <c r="H346" s="16">
        <v>41.58</v>
      </c>
      <c r="I346" s="17"/>
      <c r="J346" s="17">
        <v>14.36</v>
      </c>
      <c r="K346" s="17"/>
      <c r="L346" s="17">
        <v>41.58</v>
      </c>
      <c r="M346" s="50"/>
      <c r="N346" s="17">
        <v>14.36</v>
      </c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898.88</v>
      </c>
      <c r="F347" s="17"/>
      <c r="G347" s="17">
        <v>369.88</v>
      </c>
      <c r="H347" s="16"/>
      <c r="I347" s="17">
        <v>898.88</v>
      </c>
      <c r="J347" s="17"/>
      <c r="K347" s="17">
        <v>369.88</v>
      </c>
      <c r="L347" s="17"/>
      <c r="M347" s="50">
        <f>(L346+L348)/2*25</f>
        <v>898.875</v>
      </c>
      <c r="N347" s="17"/>
      <c r="O347" s="22">
        <v>369.88</v>
      </c>
      <c r="P347" s="19">
        <f t="shared" si="55"/>
        <v>0.00499999999999545</v>
      </c>
    </row>
    <row r="348" ht="12" customHeight="1" spans="1:16">
      <c r="A348" s="14">
        <v>170</v>
      </c>
      <c r="B348" s="15" t="s">
        <v>185</v>
      </c>
      <c r="C348" s="18"/>
      <c r="D348" s="16">
        <v>30.33</v>
      </c>
      <c r="E348" s="17"/>
      <c r="F348" s="17">
        <v>15.23</v>
      </c>
      <c r="G348" s="17"/>
      <c r="H348" s="16">
        <v>30.33</v>
      </c>
      <c r="I348" s="17"/>
      <c r="J348" s="17">
        <v>15.23</v>
      </c>
      <c r="K348" s="17"/>
      <c r="L348" s="17">
        <v>30.33</v>
      </c>
      <c r="M348" s="50"/>
      <c r="N348" s="17">
        <v>15.23</v>
      </c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1056.88</v>
      </c>
      <c r="F349" s="17"/>
      <c r="G349" s="17">
        <v>385.38</v>
      </c>
      <c r="H349" s="16"/>
      <c r="I349" s="17">
        <v>1056.88</v>
      </c>
      <c r="J349" s="17"/>
      <c r="K349" s="17">
        <v>385.38</v>
      </c>
      <c r="L349" s="17"/>
      <c r="M349" s="50">
        <f>(L348+L350)/2*25</f>
        <v>1056.875</v>
      </c>
      <c r="N349" s="17"/>
      <c r="O349" s="22">
        <v>385.38</v>
      </c>
      <c r="P349" s="19">
        <f t="shared" ref="P349:P353" si="56">I349+K349-M349-O349</f>
        <v>0.00500000000022283</v>
      </c>
    </row>
    <row r="350" ht="12" customHeight="1" spans="1:16">
      <c r="A350" s="14">
        <v>171</v>
      </c>
      <c r="B350" s="15" t="s">
        <v>186</v>
      </c>
      <c r="C350" s="18"/>
      <c r="D350" s="16">
        <v>54.22</v>
      </c>
      <c r="E350" s="17"/>
      <c r="F350" s="17">
        <v>15.6</v>
      </c>
      <c r="G350" s="17"/>
      <c r="H350" s="16">
        <v>54.22</v>
      </c>
      <c r="I350" s="17"/>
      <c r="J350" s="17">
        <v>15.6</v>
      </c>
      <c r="K350" s="17"/>
      <c r="L350" s="17">
        <v>54.22</v>
      </c>
      <c r="M350" s="50"/>
      <c r="N350" s="17">
        <v>15.6</v>
      </c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1537.13</v>
      </c>
      <c r="F351" s="17"/>
      <c r="G351" s="17">
        <v>413.13</v>
      </c>
      <c r="H351" s="16"/>
      <c r="I351" s="17">
        <v>1537.13</v>
      </c>
      <c r="J351" s="17"/>
      <c r="K351" s="17">
        <v>413.13</v>
      </c>
      <c r="L351" s="17"/>
      <c r="M351" s="50">
        <f>(L350+L352)/2*25</f>
        <v>1537.125</v>
      </c>
      <c r="N351" s="17"/>
      <c r="O351" s="22">
        <v>413.13</v>
      </c>
      <c r="P351" s="19">
        <f t="shared" si="56"/>
        <v>0.00500000000022283</v>
      </c>
    </row>
    <row r="352" ht="12" customHeight="1" spans="1:16">
      <c r="A352" s="14">
        <v>172</v>
      </c>
      <c r="B352" s="15" t="s">
        <v>187</v>
      </c>
      <c r="C352" s="18"/>
      <c r="D352" s="16">
        <v>68.75</v>
      </c>
      <c r="E352" s="17"/>
      <c r="F352" s="17">
        <v>17.45</v>
      </c>
      <c r="G352" s="17"/>
      <c r="H352" s="16">
        <v>68.75</v>
      </c>
      <c r="I352" s="17"/>
      <c r="J352" s="17">
        <v>17.45</v>
      </c>
      <c r="K352" s="17"/>
      <c r="L352" s="17">
        <v>68.75</v>
      </c>
      <c r="M352" s="50"/>
      <c r="N352" s="17">
        <v>17.45</v>
      </c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1825.25</v>
      </c>
      <c r="F353" s="17"/>
      <c r="G353" s="17">
        <v>471.63</v>
      </c>
      <c r="H353" s="16"/>
      <c r="I353" s="17">
        <v>1825.25</v>
      </c>
      <c r="J353" s="17"/>
      <c r="K353" s="17">
        <v>471.63</v>
      </c>
      <c r="L353" s="17"/>
      <c r="M353" s="50">
        <f>(L352+L354)/2*25</f>
        <v>1825.25</v>
      </c>
      <c r="N353" s="17"/>
      <c r="O353" s="22">
        <v>471.63</v>
      </c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77.27</v>
      </c>
      <c r="E354" s="17"/>
      <c r="F354" s="17">
        <v>20.28</v>
      </c>
      <c r="G354" s="17"/>
      <c r="H354" s="16">
        <v>77.27</v>
      </c>
      <c r="I354" s="17"/>
      <c r="J354" s="17">
        <v>20.28</v>
      </c>
      <c r="K354" s="17"/>
      <c r="L354" s="17">
        <v>77.27</v>
      </c>
      <c r="M354" s="50"/>
      <c r="N354" s="17">
        <v>20.28</v>
      </c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1648.88</v>
      </c>
      <c r="F355" s="17"/>
      <c r="G355" s="17">
        <v>410</v>
      </c>
      <c r="H355" s="16"/>
      <c r="I355" s="17">
        <v>1648.88</v>
      </c>
      <c r="J355" s="17"/>
      <c r="K355" s="17">
        <v>410</v>
      </c>
      <c r="L355" s="17"/>
      <c r="M355" s="50">
        <f>(L354+L356)/2*25</f>
        <v>1648.875</v>
      </c>
      <c r="N355" s="17"/>
      <c r="O355" s="22">
        <v>410</v>
      </c>
      <c r="P355" s="19">
        <f t="shared" ref="P355:P359" si="57">I355+K355-M355-O355</f>
        <v>0.00500000000010914</v>
      </c>
    </row>
    <row r="356" ht="12" customHeight="1" spans="1:16">
      <c r="A356" s="14">
        <v>174</v>
      </c>
      <c r="B356" s="15" t="s">
        <v>189</v>
      </c>
      <c r="C356" s="18"/>
      <c r="D356" s="16">
        <v>54.64</v>
      </c>
      <c r="E356" s="17"/>
      <c r="F356" s="17">
        <v>12.52</v>
      </c>
      <c r="G356" s="17"/>
      <c r="H356" s="16">
        <v>54.64</v>
      </c>
      <c r="I356" s="17"/>
      <c r="J356" s="17">
        <v>12.52</v>
      </c>
      <c r="K356" s="17"/>
      <c r="L356" s="17">
        <v>54.64</v>
      </c>
      <c r="M356" s="50"/>
      <c r="N356" s="17">
        <v>12.52</v>
      </c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1054.63</v>
      </c>
      <c r="F357" s="17"/>
      <c r="G357" s="17">
        <v>234.88</v>
      </c>
      <c r="H357" s="16"/>
      <c r="I357" s="17">
        <v>1054.63</v>
      </c>
      <c r="J357" s="17"/>
      <c r="K357" s="17">
        <v>234.88</v>
      </c>
      <c r="L357" s="17"/>
      <c r="M357" s="50">
        <f>(L356+L358)/2*25</f>
        <v>1054.625</v>
      </c>
      <c r="N357" s="17"/>
      <c r="O357" s="22">
        <v>234.88</v>
      </c>
      <c r="P357" s="19">
        <f t="shared" si="57"/>
        <v>0.00500000000022283</v>
      </c>
    </row>
    <row r="358" ht="12" customHeight="1" spans="1:16">
      <c r="A358" s="14">
        <v>175</v>
      </c>
      <c r="B358" s="15" t="s">
        <v>190</v>
      </c>
      <c r="C358" s="18"/>
      <c r="D358" s="16">
        <v>29.73</v>
      </c>
      <c r="E358" s="17"/>
      <c r="F358" s="17">
        <v>6.27</v>
      </c>
      <c r="G358" s="17"/>
      <c r="H358" s="16">
        <v>29.73</v>
      </c>
      <c r="I358" s="17"/>
      <c r="J358" s="17">
        <v>6.27</v>
      </c>
      <c r="K358" s="17"/>
      <c r="L358" s="17">
        <v>29.73</v>
      </c>
      <c r="M358" s="50"/>
      <c r="N358" s="17">
        <v>6.27</v>
      </c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371.63</v>
      </c>
      <c r="F359" s="17"/>
      <c r="G359" s="17">
        <v>78.38</v>
      </c>
      <c r="H359" s="16"/>
      <c r="I359" s="17">
        <v>371.63</v>
      </c>
      <c r="J359" s="17"/>
      <c r="K359" s="17">
        <v>78.38</v>
      </c>
      <c r="L359" s="17"/>
      <c r="M359" s="50">
        <f>(L358+L360)/2*25</f>
        <v>371.625</v>
      </c>
      <c r="N359" s="17"/>
      <c r="O359" s="22">
        <v>78.38</v>
      </c>
      <c r="P359" s="19">
        <f t="shared" si="57"/>
        <v>0.00499999999999545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>
        <v>0</v>
      </c>
      <c r="I360" s="17"/>
      <c r="J360" s="17">
        <v>0</v>
      </c>
      <c r="K360" s="17"/>
      <c r="L360" s="17">
        <v>0</v>
      </c>
      <c r="M360" s="50"/>
      <c r="N360" s="17">
        <v>0</v>
      </c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>
        <v>0</v>
      </c>
      <c r="J361" s="17"/>
      <c r="K361" s="17">
        <v>0</v>
      </c>
      <c r="L361" s="17"/>
      <c r="M361" s="22">
        <v>0</v>
      </c>
      <c r="N361" s="17"/>
      <c r="O361" s="22">
        <v>0</v>
      </c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>
        <v>0</v>
      </c>
      <c r="I362" s="17"/>
      <c r="J362" s="17">
        <v>0</v>
      </c>
      <c r="K362" s="17"/>
      <c r="L362" s="17">
        <v>0</v>
      </c>
      <c r="M362" s="22"/>
      <c r="N362" s="17">
        <v>0</v>
      </c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>
        <v>0</v>
      </c>
      <c r="J363" s="17"/>
      <c r="K363" s="24">
        <v>0</v>
      </c>
      <c r="L363" s="17"/>
      <c r="M363" s="24">
        <v>0</v>
      </c>
      <c r="N363" s="17"/>
      <c r="O363" s="24">
        <v>0</v>
      </c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>
        <v>0</v>
      </c>
      <c r="I364" s="26"/>
      <c r="J364" s="17">
        <v>0</v>
      </c>
      <c r="K364" s="26"/>
      <c r="L364" s="17">
        <v>0</v>
      </c>
      <c r="M364" s="26"/>
      <c r="N364" s="17">
        <v>0</v>
      </c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>
        <v>0</v>
      </c>
      <c r="J365" s="17"/>
      <c r="K365" s="17">
        <v>0</v>
      </c>
      <c r="L365" s="17"/>
      <c r="M365" s="22">
        <v>0</v>
      </c>
      <c r="N365" s="17"/>
      <c r="O365" s="22">
        <v>0</v>
      </c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>
        <v>0</v>
      </c>
      <c r="I366" s="17"/>
      <c r="J366" s="17">
        <v>0</v>
      </c>
      <c r="K366" s="17"/>
      <c r="L366" s="17">
        <v>0</v>
      </c>
      <c r="M366" s="22"/>
      <c r="N366" s="17">
        <v>0</v>
      </c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>
        <v>0</v>
      </c>
      <c r="J367" s="17"/>
      <c r="K367" s="17">
        <v>0</v>
      </c>
      <c r="L367" s="17"/>
      <c r="M367" s="22">
        <v>0</v>
      </c>
      <c r="N367" s="17"/>
      <c r="O367" s="22">
        <v>0</v>
      </c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>
        <v>0</v>
      </c>
      <c r="I368" s="17"/>
      <c r="J368" s="17">
        <v>0</v>
      </c>
      <c r="K368" s="17"/>
      <c r="L368" s="17">
        <v>0</v>
      </c>
      <c r="M368" s="22"/>
      <c r="N368" s="17">
        <v>0</v>
      </c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>
        <v>0</v>
      </c>
      <c r="J369" s="17"/>
      <c r="K369" s="17">
        <v>0</v>
      </c>
      <c r="L369" s="17"/>
      <c r="M369" s="22">
        <v>0</v>
      </c>
      <c r="N369" s="17"/>
      <c r="O369" s="22">
        <v>0</v>
      </c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>
        <v>0</v>
      </c>
      <c r="I370" s="17"/>
      <c r="J370" s="17">
        <v>0</v>
      </c>
      <c r="K370" s="17"/>
      <c r="L370" s="17">
        <v>0</v>
      </c>
      <c r="M370" s="22"/>
      <c r="N370" s="17">
        <v>0</v>
      </c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>
        <v>0</v>
      </c>
      <c r="J371" s="17"/>
      <c r="K371" s="17">
        <v>0</v>
      </c>
      <c r="L371" s="17"/>
      <c r="M371" s="22">
        <v>0</v>
      </c>
      <c r="N371" s="17"/>
      <c r="O371" s="22">
        <v>0</v>
      </c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>
        <v>0</v>
      </c>
      <c r="I372" s="17"/>
      <c r="J372" s="17">
        <v>0</v>
      </c>
      <c r="K372" s="17"/>
      <c r="L372" s="17">
        <v>0</v>
      </c>
      <c r="M372" s="22"/>
      <c r="N372" s="17">
        <v>0</v>
      </c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>
        <v>0</v>
      </c>
      <c r="J373" s="17"/>
      <c r="K373" s="17">
        <v>0</v>
      </c>
      <c r="L373" s="17"/>
      <c r="M373" s="22">
        <v>0</v>
      </c>
      <c r="N373" s="17"/>
      <c r="O373" s="22">
        <v>0</v>
      </c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>
        <v>0</v>
      </c>
      <c r="I374" s="17"/>
      <c r="J374" s="17">
        <v>0</v>
      </c>
      <c r="K374" s="17"/>
      <c r="L374" s="17">
        <v>0</v>
      </c>
      <c r="M374" s="22"/>
      <c r="N374" s="17">
        <v>0</v>
      </c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>
        <v>0</v>
      </c>
      <c r="J375" s="17"/>
      <c r="K375" s="17">
        <v>0</v>
      </c>
      <c r="L375" s="17"/>
      <c r="M375" s="22">
        <v>0</v>
      </c>
      <c r="N375" s="17"/>
      <c r="O375" s="22">
        <v>0</v>
      </c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>
        <v>0</v>
      </c>
      <c r="I376" s="17"/>
      <c r="J376" s="17">
        <v>0</v>
      </c>
      <c r="K376" s="17"/>
      <c r="L376" s="17">
        <v>0</v>
      </c>
      <c r="M376" s="22"/>
      <c r="N376" s="17">
        <v>0</v>
      </c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>
        <v>0</v>
      </c>
      <c r="J377" s="17"/>
      <c r="K377" s="17">
        <v>0</v>
      </c>
      <c r="L377" s="17"/>
      <c r="M377" s="22">
        <v>0</v>
      </c>
      <c r="N377" s="17"/>
      <c r="O377" s="22">
        <v>0</v>
      </c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>
        <v>0</v>
      </c>
      <c r="I378" s="17"/>
      <c r="J378" s="17">
        <v>0</v>
      </c>
      <c r="K378" s="17"/>
      <c r="L378" s="17">
        <v>0</v>
      </c>
      <c r="M378" s="22"/>
      <c r="N378" s="17">
        <v>0</v>
      </c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>
        <v>0</v>
      </c>
      <c r="J379" s="17"/>
      <c r="K379" s="17">
        <v>0</v>
      </c>
      <c r="L379" s="17"/>
      <c r="M379" s="22">
        <v>0</v>
      </c>
      <c r="N379" s="17"/>
      <c r="O379" s="22">
        <v>0</v>
      </c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>
        <v>0</v>
      </c>
      <c r="I380" s="17"/>
      <c r="J380" s="17">
        <v>0</v>
      </c>
      <c r="K380" s="17"/>
      <c r="L380" s="17">
        <v>0</v>
      </c>
      <c r="M380" s="22"/>
      <c r="N380" s="17">
        <v>0</v>
      </c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>
        <v>0</v>
      </c>
      <c r="J381" s="17"/>
      <c r="K381" s="17">
        <v>0</v>
      </c>
      <c r="L381" s="17"/>
      <c r="M381" s="22">
        <v>0</v>
      </c>
      <c r="N381" s="17"/>
      <c r="O381" s="22">
        <v>0</v>
      </c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>
        <v>0</v>
      </c>
      <c r="I382" s="17"/>
      <c r="J382" s="17">
        <v>0</v>
      </c>
      <c r="K382" s="17"/>
      <c r="L382" s="17">
        <v>0</v>
      </c>
      <c r="M382" s="22"/>
      <c r="N382" s="17">
        <v>0</v>
      </c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>
        <v>0</v>
      </c>
      <c r="J383" s="17"/>
      <c r="K383" s="17">
        <v>0</v>
      </c>
      <c r="L383" s="17"/>
      <c r="M383" s="22">
        <v>0</v>
      </c>
      <c r="N383" s="17"/>
      <c r="O383" s="22">
        <v>0</v>
      </c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>
        <v>0</v>
      </c>
      <c r="I384" s="17"/>
      <c r="J384" s="17">
        <v>0</v>
      </c>
      <c r="K384" s="17"/>
      <c r="L384" s="17">
        <v>0</v>
      </c>
      <c r="M384" s="22"/>
      <c r="N384" s="17">
        <v>0</v>
      </c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>
        <v>0</v>
      </c>
      <c r="J385" s="17"/>
      <c r="K385" s="17">
        <v>0</v>
      </c>
      <c r="L385" s="17"/>
      <c r="M385" s="22">
        <v>0</v>
      </c>
      <c r="N385" s="17"/>
      <c r="O385" s="22">
        <v>0</v>
      </c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>
        <v>0</v>
      </c>
      <c r="I386" s="17"/>
      <c r="J386" s="17">
        <v>0</v>
      </c>
      <c r="K386" s="17"/>
      <c r="L386" s="17">
        <v>0</v>
      </c>
      <c r="M386" s="22"/>
      <c r="N386" s="17">
        <v>0</v>
      </c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>
        <v>0</v>
      </c>
      <c r="J387" s="17"/>
      <c r="K387" s="17">
        <v>0</v>
      </c>
      <c r="L387" s="17"/>
      <c r="M387" s="22">
        <v>0</v>
      </c>
      <c r="N387" s="17"/>
      <c r="O387" s="22">
        <v>0</v>
      </c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>
        <v>0</v>
      </c>
      <c r="I388" s="17"/>
      <c r="J388" s="17">
        <v>0</v>
      </c>
      <c r="K388" s="17"/>
      <c r="L388" s="17">
        <v>0</v>
      </c>
      <c r="M388" s="22"/>
      <c r="N388" s="17">
        <v>0</v>
      </c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0</v>
      </c>
      <c r="F389" s="17"/>
      <c r="G389" s="17">
        <v>0</v>
      </c>
      <c r="H389" s="16"/>
      <c r="I389" s="17">
        <v>0</v>
      </c>
      <c r="J389" s="17"/>
      <c r="K389" s="17">
        <v>0</v>
      </c>
      <c r="L389" s="17"/>
      <c r="M389" s="22">
        <v>0</v>
      </c>
      <c r="N389" s="17"/>
      <c r="O389" s="22">
        <v>0</v>
      </c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>
        <v>0</v>
      </c>
      <c r="I390" s="17"/>
      <c r="J390" s="17">
        <v>0</v>
      </c>
      <c r="K390" s="17"/>
      <c r="L390" s="17">
        <v>0</v>
      </c>
      <c r="M390" s="22"/>
      <c r="N390" s="17">
        <v>0</v>
      </c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0</v>
      </c>
      <c r="F391" s="17"/>
      <c r="G391" s="17">
        <v>0</v>
      </c>
      <c r="H391" s="16"/>
      <c r="I391" s="17">
        <v>0</v>
      </c>
      <c r="J391" s="17"/>
      <c r="K391" s="17">
        <v>0</v>
      </c>
      <c r="L391" s="17"/>
      <c r="M391" s="22">
        <v>0</v>
      </c>
      <c r="N391" s="17"/>
      <c r="O391" s="22">
        <v>0</v>
      </c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0</v>
      </c>
      <c r="E392" s="17"/>
      <c r="F392" s="17">
        <v>0</v>
      </c>
      <c r="G392" s="17"/>
      <c r="H392" s="16">
        <v>0</v>
      </c>
      <c r="I392" s="17"/>
      <c r="J392" s="17">
        <v>0</v>
      </c>
      <c r="K392" s="17"/>
      <c r="L392" s="17">
        <v>0</v>
      </c>
      <c r="M392" s="22"/>
      <c r="N392" s="17">
        <v>0</v>
      </c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0</v>
      </c>
      <c r="F393" s="17"/>
      <c r="G393" s="17">
        <v>0</v>
      </c>
      <c r="H393" s="16"/>
      <c r="I393" s="17">
        <v>0</v>
      </c>
      <c r="J393" s="17"/>
      <c r="K393" s="17">
        <v>0</v>
      </c>
      <c r="L393" s="17"/>
      <c r="M393" s="22">
        <v>0</v>
      </c>
      <c r="N393" s="17"/>
      <c r="O393" s="22">
        <v>0</v>
      </c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>
        <v>0</v>
      </c>
      <c r="I394" s="17"/>
      <c r="J394" s="17">
        <v>0</v>
      </c>
      <c r="K394" s="17"/>
      <c r="L394" s="17">
        <v>0</v>
      </c>
      <c r="M394" s="22"/>
      <c r="N394" s="17">
        <v>0</v>
      </c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>
        <v>0</v>
      </c>
      <c r="J395" s="17"/>
      <c r="K395" s="17">
        <v>0</v>
      </c>
      <c r="L395" s="17"/>
      <c r="M395" s="22">
        <v>0</v>
      </c>
      <c r="N395" s="17"/>
      <c r="O395" s="22">
        <v>0</v>
      </c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>
        <v>0</v>
      </c>
      <c r="I396" s="17"/>
      <c r="J396" s="17">
        <v>0</v>
      </c>
      <c r="K396" s="17"/>
      <c r="L396" s="17">
        <v>0</v>
      </c>
      <c r="M396" s="22"/>
      <c r="N396" s="17">
        <v>0</v>
      </c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>
        <v>0</v>
      </c>
      <c r="J397" s="17"/>
      <c r="K397" s="17">
        <v>0</v>
      </c>
      <c r="L397" s="17"/>
      <c r="M397" s="22">
        <v>0</v>
      </c>
      <c r="N397" s="17"/>
      <c r="O397" s="22">
        <v>0</v>
      </c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>
        <v>0</v>
      </c>
      <c r="I398" s="17"/>
      <c r="J398" s="17">
        <v>0</v>
      </c>
      <c r="K398" s="17"/>
      <c r="L398" s="17">
        <v>0</v>
      </c>
      <c r="M398" s="22"/>
      <c r="N398" s="17">
        <v>0</v>
      </c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>
        <v>0</v>
      </c>
      <c r="J399" s="17"/>
      <c r="K399" s="17">
        <v>0</v>
      </c>
      <c r="L399" s="17"/>
      <c r="M399" s="22">
        <v>0</v>
      </c>
      <c r="N399" s="17"/>
      <c r="O399" s="22">
        <v>0</v>
      </c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>
        <v>0</v>
      </c>
      <c r="I400" s="17"/>
      <c r="J400" s="17">
        <v>0</v>
      </c>
      <c r="K400" s="17"/>
      <c r="L400" s="17">
        <v>0</v>
      </c>
      <c r="M400" s="22"/>
      <c r="N400" s="17">
        <v>0</v>
      </c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>
        <v>0</v>
      </c>
      <c r="J401" s="17"/>
      <c r="K401" s="17">
        <v>0</v>
      </c>
      <c r="L401" s="17"/>
      <c r="M401" s="22">
        <v>0</v>
      </c>
      <c r="N401" s="17"/>
      <c r="O401" s="22">
        <v>0</v>
      </c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>
        <v>0</v>
      </c>
      <c r="I402" s="17"/>
      <c r="J402" s="17">
        <v>0</v>
      </c>
      <c r="K402" s="17"/>
      <c r="L402" s="17">
        <v>0</v>
      </c>
      <c r="M402" s="22"/>
      <c r="N402" s="17">
        <v>0</v>
      </c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>
        <v>0</v>
      </c>
      <c r="J403" s="17"/>
      <c r="K403" s="17">
        <v>0</v>
      </c>
      <c r="L403" s="17"/>
      <c r="M403" s="22">
        <v>0</v>
      </c>
      <c r="N403" s="17"/>
      <c r="O403" s="22">
        <v>0</v>
      </c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>
        <v>0</v>
      </c>
      <c r="I404" s="17"/>
      <c r="J404" s="17">
        <v>0</v>
      </c>
      <c r="K404" s="17"/>
      <c r="L404" s="17">
        <v>0</v>
      </c>
      <c r="M404" s="22"/>
      <c r="N404" s="17">
        <v>0</v>
      </c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>
        <v>0</v>
      </c>
      <c r="J405" s="17"/>
      <c r="K405" s="17">
        <v>0</v>
      </c>
      <c r="L405" s="17"/>
      <c r="M405" s="22">
        <v>0</v>
      </c>
      <c r="N405" s="17"/>
      <c r="O405" s="22">
        <v>0</v>
      </c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>
        <v>0</v>
      </c>
      <c r="I406" s="17"/>
      <c r="J406" s="17">
        <v>0</v>
      </c>
      <c r="K406" s="17"/>
      <c r="L406" s="17">
        <v>0</v>
      </c>
      <c r="M406" s="22"/>
      <c r="N406" s="17">
        <v>0</v>
      </c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0</v>
      </c>
      <c r="F407" s="17"/>
      <c r="G407" s="17">
        <v>0</v>
      </c>
      <c r="H407" s="16"/>
      <c r="I407" s="17">
        <v>0</v>
      </c>
      <c r="J407" s="17"/>
      <c r="K407" s="17">
        <v>0</v>
      </c>
      <c r="L407" s="17"/>
      <c r="M407" s="22">
        <v>0</v>
      </c>
      <c r="N407" s="17"/>
      <c r="O407" s="22">
        <v>0</v>
      </c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0</v>
      </c>
      <c r="E408" s="17"/>
      <c r="F408" s="17">
        <v>0</v>
      </c>
      <c r="G408" s="17"/>
      <c r="H408" s="16">
        <v>0</v>
      </c>
      <c r="I408" s="17"/>
      <c r="J408" s="17">
        <v>0</v>
      </c>
      <c r="K408" s="17"/>
      <c r="L408" s="17">
        <v>0</v>
      </c>
      <c r="M408" s="22"/>
      <c r="N408" s="17">
        <v>0</v>
      </c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0</v>
      </c>
      <c r="F409" s="17"/>
      <c r="G409" s="17">
        <v>0</v>
      </c>
      <c r="H409" s="16"/>
      <c r="I409" s="17">
        <v>0</v>
      </c>
      <c r="J409" s="17"/>
      <c r="K409" s="17">
        <v>0</v>
      </c>
      <c r="L409" s="17"/>
      <c r="M409" s="22">
        <v>0</v>
      </c>
      <c r="N409" s="17"/>
      <c r="O409" s="22">
        <v>0</v>
      </c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0</v>
      </c>
      <c r="E410" s="17"/>
      <c r="F410" s="17">
        <v>0</v>
      </c>
      <c r="G410" s="17"/>
      <c r="H410" s="16">
        <v>0</v>
      </c>
      <c r="I410" s="17"/>
      <c r="J410" s="17">
        <v>0</v>
      </c>
      <c r="K410" s="17"/>
      <c r="L410" s="17">
        <v>0</v>
      </c>
      <c r="M410" s="22"/>
      <c r="N410" s="17">
        <v>0</v>
      </c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0</v>
      </c>
      <c r="F411" s="17"/>
      <c r="G411" s="17">
        <v>0</v>
      </c>
      <c r="H411" s="16"/>
      <c r="I411" s="17">
        <v>0</v>
      </c>
      <c r="J411" s="17"/>
      <c r="K411" s="17">
        <v>0</v>
      </c>
      <c r="L411" s="17"/>
      <c r="M411" s="22">
        <v>0</v>
      </c>
      <c r="N411" s="17"/>
      <c r="O411" s="22">
        <v>0</v>
      </c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0</v>
      </c>
      <c r="E412" s="17"/>
      <c r="F412" s="17">
        <v>0</v>
      </c>
      <c r="G412" s="17"/>
      <c r="H412" s="16">
        <v>0</v>
      </c>
      <c r="I412" s="17"/>
      <c r="J412" s="17">
        <v>0</v>
      </c>
      <c r="K412" s="17"/>
      <c r="L412" s="17">
        <v>0</v>
      </c>
      <c r="M412" s="22"/>
      <c r="N412" s="17">
        <v>0</v>
      </c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0</v>
      </c>
      <c r="F413" s="17"/>
      <c r="G413" s="17">
        <v>0</v>
      </c>
      <c r="H413" s="16"/>
      <c r="I413" s="17">
        <v>0</v>
      </c>
      <c r="J413" s="17"/>
      <c r="K413" s="17">
        <v>0</v>
      </c>
      <c r="L413" s="17"/>
      <c r="M413" s="22">
        <v>0</v>
      </c>
      <c r="N413" s="17"/>
      <c r="O413" s="22">
        <v>0</v>
      </c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0</v>
      </c>
      <c r="E414" s="17"/>
      <c r="F414" s="17">
        <v>0</v>
      </c>
      <c r="G414" s="17"/>
      <c r="H414" s="16">
        <v>0</v>
      </c>
      <c r="I414" s="17"/>
      <c r="J414" s="17">
        <v>0</v>
      </c>
      <c r="K414" s="17"/>
      <c r="L414" s="17">
        <v>0</v>
      </c>
      <c r="M414" s="22"/>
      <c r="N414" s="17">
        <v>0</v>
      </c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0</v>
      </c>
      <c r="F415" s="17"/>
      <c r="G415" s="17">
        <v>0</v>
      </c>
      <c r="H415" s="16"/>
      <c r="I415" s="17">
        <v>0</v>
      </c>
      <c r="J415" s="17"/>
      <c r="K415" s="17">
        <v>0</v>
      </c>
      <c r="L415" s="17"/>
      <c r="M415" s="22">
        <v>0</v>
      </c>
      <c r="N415" s="17"/>
      <c r="O415" s="22">
        <v>0</v>
      </c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0</v>
      </c>
      <c r="E416" s="17"/>
      <c r="F416" s="17">
        <v>0</v>
      </c>
      <c r="G416" s="17"/>
      <c r="H416" s="16">
        <v>0</v>
      </c>
      <c r="I416" s="17"/>
      <c r="J416" s="17">
        <v>0</v>
      </c>
      <c r="K416" s="17"/>
      <c r="L416" s="17">
        <v>0</v>
      </c>
      <c r="M416" s="22"/>
      <c r="N416" s="17">
        <v>0</v>
      </c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0</v>
      </c>
      <c r="F417" s="17"/>
      <c r="G417" s="17">
        <v>0</v>
      </c>
      <c r="H417" s="16"/>
      <c r="I417" s="17">
        <v>0</v>
      </c>
      <c r="J417" s="17"/>
      <c r="K417" s="17">
        <v>0</v>
      </c>
      <c r="L417" s="17"/>
      <c r="M417" s="22">
        <v>0</v>
      </c>
      <c r="N417" s="17"/>
      <c r="O417" s="22">
        <v>0</v>
      </c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0</v>
      </c>
      <c r="E418" s="17"/>
      <c r="F418" s="17">
        <v>0</v>
      </c>
      <c r="G418" s="17"/>
      <c r="H418" s="16">
        <v>0</v>
      </c>
      <c r="I418" s="17"/>
      <c r="J418" s="17">
        <v>0</v>
      </c>
      <c r="K418" s="17"/>
      <c r="L418" s="17">
        <v>0</v>
      </c>
      <c r="M418" s="22"/>
      <c r="N418" s="17">
        <v>0</v>
      </c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0</v>
      </c>
      <c r="F419" s="17"/>
      <c r="G419" s="17">
        <v>0</v>
      </c>
      <c r="H419" s="16"/>
      <c r="I419" s="17">
        <v>0</v>
      </c>
      <c r="J419" s="17"/>
      <c r="K419" s="17">
        <v>0</v>
      </c>
      <c r="L419" s="17"/>
      <c r="M419" s="22">
        <v>0</v>
      </c>
      <c r="N419" s="17"/>
      <c r="O419" s="22">
        <v>0</v>
      </c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0</v>
      </c>
      <c r="E420" s="17"/>
      <c r="F420" s="17">
        <v>0</v>
      </c>
      <c r="G420" s="17"/>
      <c r="H420" s="16">
        <v>0</v>
      </c>
      <c r="I420" s="17"/>
      <c r="J420" s="17">
        <v>0</v>
      </c>
      <c r="K420" s="17"/>
      <c r="L420" s="17">
        <v>0</v>
      </c>
      <c r="M420" s="22"/>
      <c r="N420" s="17">
        <v>0</v>
      </c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0</v>
      </c>
      <c r="F421" s="17"/>
      <c r="G421" s="17">
        <v>0</v>
      </c>
      <c r="H421" s="16"/>
      <c r="I421" s="17">
        <v>0</v>
      </c>
      <c r="J421" s="17"/>
      <c r="K421" s="17">
        <v>0</v>
      </c>
      <c r="L421" s="17"/>
      <c r="M421" s="22">
        <v>0</v>
      </c>
      <c r="N421" s="17"/>
      <c r="O421" s="22">
        <v>0</v>
      </c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0</v>
      </c>
      <c r="E422" s="17"/>
      <c r="F422" s="17">
        <v>0</v>
      </c>
      <c r="G422" s="17"/>
      <c r="H422" s="16">
        <v>0</v>
      </c>
      <c r="I422" s="17"/>
      <c r="J422" s="17">
        <v>0</v>
      </c>
      <c r="K422" s="17"/>
      <c r="L422" s="17">
        <v>0</v>
      </c>
      <c r="M422" s="22"/>
      <c r="N422" s="17">
        <v>0</v>
      </c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0</v>
      </c>
      <c r="F423" s="17"/>
      <c r="G423" s="17">
        <v>0</v>
      </c>
      <c r="H423" s="16"/>
      <c r="I423" s="17">
        <v>0</v>
      </c>
      <c r="J423" s="17"/>
      <c r="K423" s="17">
        <v>0</v>
      </c>
      <c r="L423" s="17"/>
      <c r="M423" s="22">
        <v>0</v>
      </c>
      <c r="N423" s="17"/>
      <c r="O423" s="22">
        <v>0</v>
      </c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>
        <v>0</v>
      </c>
      <c r="I424" s="17"/>
      <c r="J424" s="17">
        <v>0</v>
      </c>
      <c r="K424" s="17"/>
      <c r="L424" s="17">
        <v>0</v>
      </c>
      <c r="M424" s="22"/>
      <c r="N424" s="17">
        <v>0</v>
      </c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758.75</v>
      </c>
      <c r="F425" s="17"/>
      <c r="G425" s="17">
        <v>86.25</v>
      </c>
      <c r="H425" s="16"/>
      <c r="I425" s="17">
        <v>758.75</v>
      </c>
      <c r="J425" s="17"/>
      <c r="K425" s="17">
        <v>86.25</v>
      </c>
      <c r="L425" s="17"/>
      <c r="M425" s="50">
        <f>(L424+L426)/2*25</f>
        <v>718.95</v>
      </c>
      <c r="N425" s="17"/>
      <c r="O425" s="22">
        <v>86.25</v>
      </c>
      <c r="P425" s="19">
        <f t="shared" si="68"/>
        <v>39.8000000000001</v>
      </c>
    </row>
    <row r="426" ht="12" customHeight="1" spans="1:16">
      <c r="A426" s="14">
        <v>209</v>
      </c>
      <c r="B426" s="15" t="s">
        <v>224</v>
      </c>
      <c r="C426" s="18"/>
      <c r="D426" s="16">
        <v>60.7</v>
      </c>
      <c r="E426" s="17"/>
      <c r="F426" s="17">
        <v>6.9</v>
      </c>
      <c r="G426" s="17"/>
      <c r="H426" s="16">
        <v>60.7</v>
      </c>
      <c r="I426" s="17"/>
      <c r="J426" s="17">
        <v>6.9</v>
      </c>
      <c r="K426" s="17"/>
      <c r="L426" s="17">
        <v>57.516</v>
      </c>
      <c r="M426" s="50"/>
      <c r="N426" s="17">
        <v>6.9</v>
      </c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2165.38</v>
      </c>
      <c r="F427" s="17"/>
      <c r="G427" s="17">
        <v>264.38</v>
      </c>
      <c r="H427" s="16"/>
      <c r="I427" s="17">
        <v>2165.38</v>
      </c>
      <c r="J427" s="17"/>
      <c r="K427" s="17">
        <v>264.38</v>
      </c>
      <c r="L427" s="17"/>
      <c r="M427" s="50">
        <f>(L426+L428)/2*25</f>
        <v>2120.2875</v>
      </c>
      <c r="N427" s="17"/>
      <c r="O427" s="22">
        <v>264.38</v>
      </c>
      <c r="P427" s="19">
        <f t="shared" ref="P427:P431" si="69">I427+K427-M427-O427</f>
        <v>45.0925000000003</v>
      </c>
    </row>
    <row r="428" ht="12" customHeight="1" spans="1:16">
      <c r="A428" s="14">
        <v>210</v>
      </c>
      <c r="B428" s="15" t="s">
        <v>225</v>
      </c>
      <c r="C428" s="18"/>
      <c r="D428" s="16">
        <v>112.53</v>
      </c>
      <c r="E428" s="17"/>
      <c r="F428" s="17">
        <v>14.25</v>
      </c>
      <c r="G428" s="17"/>
      <c r="H428" s="16">
        <v>112.53</v>
      </c>
      <c r="I428" s="17"/>
      <c r="J428" s="17">
        <v>14.25</v>
      </c>
      <c r="K428" s="17"/>
      <c r="L428" s="17">
        <v>112.107</v>
      </c>
      <c r="M428" s="50"/>
      <c r="N428" s="17">
        <v>14.25</v>
      </c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3728.88</v>
      </c>
      <c r="F429" s="17"/>
      <c r="G429" s="17">
        <v>437.88</v>
      </c>
      <c r="H429" s="16"/>
      <c r="I429" s="17">
        <v>3728.88</v>
      </c>
      <c r="J429" s="17"/>
      <c r="K429" s="17">
        <v>437.88</v>
      </c>
      <c r="L429" s="17"/>
      <c r="M429" s="50">
        <f>(L428+L430)/2*25</f>
        <v>3674.8875</v>
      </c>
      <c r="N429" s="17"/>
      <c r="O429" s="22">
        <v>437.88</v>
      </c>
      <c r="P429" s="19">
        <f t="shared" si="69"/>
        <v>53.9925000000004</v>
      </c>
    </row>
    <row r="430" ht="12" customHeight="1" spans="1:16">
      <c r="A430" s="14">
        <v>211</v>
      </c>
      <c r="B430" s="15" t="s">
        <v>226</v>
      </c>
      <c r="C430" s="25"/>
      <c r="D430" s="16">
        <v>185.78</v>
      </c>
      <c r="E430" s="17"/>
      <c r="F430" s="17">
        <v>20.78</v>
      </c>
      <c r="G430" s="17"/>
      <c r="H430" s="16">
        <v>185.78</v>
      </c>
      <c r="I430" s="17"/>
      <c r="J430" s="17">
        <v>20.78</v>
      </c>
      <c r="K430" s="17"/>
      <c r="L430" s="17">
        <v>181.884</v>
      </c>
      <c r="M430" s="50"/>
      <c r="N430" s="17">
        <v>20.78</v>
      </c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4849.38</v>
      </c>
      <c r="F431" s="17"/>
      <c r="G431" s="17">
        <v>540.13</v>
      </c>
      <c r="H431" s="16"/>
      <c r="I431" s="17">
        <v>4849.38</v>
      </c>
      <c r="J431" s="17"/>
      <c r="K431" s="17">
        <v>540.13</v>
      </c>
      <c r="L431" s="17"/>
      <c r="M431" s="50">
        <f>(L430+L432)/2*25</f>
        <v>4693.275</v>
      </c>
      <c r="N431" s="17"/>
      <c r="O431" s="22">
        <v>540.13</v>
      </c>
      <c r="P431" s="19">
        <f t="shared" si="69"/>
        <v>156.105000000001</v>
      </c>
    </row>
    <row r="432" ht="12" customHeight="1" spans="1:16">
      <c r="A432" s="14">
        <v>212</v>
      </c>
      <c r="B432" s="15" t="s">
        <v>227</v>
      </c>
      <c r="C432" s="18"/>
      <c r="D432" s="16">
        <v>202.17</v>
      </c>
      <c r="E432" s="17"/>
      <c r="F432" s="17">
        <v>22.43</v>
      </c>
      <c r="G432" s="17"/>
      <c r="H432" s="16">
        <v>202.17</v>
      </c>
      <c r="I432" s="17"/>
      <c r="J432" s="17">
        <v>22.43</v>
      </c>
      <c r="K432" s="17"/>
      <c r="L432" s="17">
        <v>193.578</v>
      </c>
      <c r="M432" s="50"/>
      <c r="N432" s="17">
        <v>22.43</v>
      </c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5432.25</v>
      </c>
      <c r="F433" s="17"/>
      <c r="G433" s="17">
        <v>597.75</v>
      </c>
      <c r="H433" s="16"/>
      <c r="I433" s="17">
        <v>5432.25</v>
      </c>
      <c r="J433" s="17"/>
      <c r="K433" s="17">
        <v>597.75</v>
      </c>
      <c r="L433" s="17"/>
      <c r="M433" s="50">
        <f>(L432+L434)/2*25</f>
        <v>5289.225</v>
      </c>
      <c r="N433" s="17"/>
      <c r="O433" s="22">
        <v>597.75</v>
      </c>
      <c r="P433" s="19">
        <f t="shared" ref="P433:P437" si="70">I433+K433-M433-O433</f>
        <v>143.025</v>
      </c>
    </row>
    <row r="434" ht="12" customHeight="1" spans="1:16">
      <c r="A434" s="14">
        <v>213</v>
      </c>
      <c r="B434" s="15" t="s">
        <v>228</v>
      </c>
      <c r="C434" s="18"/>
      <c r="D434" s="16">
        <v>232.41</v>
      </c>
      <c r="E434" s="17"/>
      <c r="F434" s="17">
        <v>25.39</v>
      </c>
      <c r="G434" s="17"/>
      <c r="H434" s="16">
        <v>232.41</v>
      </c>
      <c r="I434" s="17"/>
      <c r="J434" s="17">
        <v>25.39</v>
      </c>
      <c r="K434" s="17"/>
      <c r="L434" s="17">
        <v>229.56</v>
      </c>
      <c r="M434" s="50"/>
      <c r="N434" s="17">
        <v>25.39</v>
      </c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6150.88</v>
      </c>
      <c r="F435" s="17"/>
      <c r="G435" s="17">
        <v>663.5</v>
      </c>
      <c r="H435" s="16"/>
      <c r="I435" s="17">
        <v>6150.88</v>
      </c>
      <c r="J435" s="17"/>
      <c r="K435" s="17">
        <v>663.5</v>
      </c>
      <c r="L435" s="17"/>
      <c r="M435" s="50">
        <f>(L434+L436)/2*25</f>
        <v>5955.825</v>
      </c>
      <c r="N435" s="17"/>
      <c r="O435" s="22">
        <v>663.5</v>
      </c>
      <c r="P435" s="19">
        <f t="shared" si="70"/>
        <v>195.055</v>
      </c>
    </row>
    <row r="436" ht="12" customHeight="1" spans="1:16">
      <c r="A436" s="14">
        <v>214</v>
      </c>
      <c r="B436" s="15" t="s">
        <v>229</v>
      </c>
      <c r="C436" s="25"/>
      <c r="D436" s="16">
        <v>259.66</v>
      </c>
      <c r="E436" s="17"/>
      <c r="F436" s="17">
        <v>27.69</v>
      </c>
      <c r="G436" s="17"/>
      <c r="H436" s="16">
        <v>259.66</v>
      </c>
      <c r="I436" s="17"/>
      <c r="J436" s="17">
        <v>27.69</v>
      </c>
      <c r="K436" s="17"/>
      <c r="L436" s="17">
        <v>246.906</v>
      </c>
      <c r="M436" s="50"/>
      <c r="N436" s="17">
        <v>27.69</v>
      </c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5930.13</v>
      </c>
      <c r="F437" s="17"/>
      <c r="G437" s="17">
        <v>686.5</v>
      </c>
      <c r="H437" s="16"/>
      <c r="I437" s="17">
        <v>5930.13</v>
      </c>
      <c r="J437" s="17"/>
      <c r="K437" s="17">
        <v>686.5</v>
      </c>
      <c r="L437" s="17"/>
      <c r="M437" s="50">
        <f>(L436+L438)/2*25</f>
        <v>5635.275</v>
      </c>
      <c r="N437" s="17"/>
      <c r="O437" s="22">
        <v>686.5</v>
      </c>
      <c r="P437" s="19">
        <f t="shared" si="70"/>
        <v>294.855</v>
      </c>
    </row>
    <row r="438" ht="12" customHeight="1" spans="1:16">
      <c r="A438" s="14">
        <v>215</v>
      </c>
      <c r="B438" s="15" t="s">
        <v>230</v>
      </c>
      <c r="C438" s="18"/>
      <c r="D438" s="16">
        <v>214.75</v>
      </c>
      <c r="E438" s="17"/>
      <c r="F438" s="17">
        <v>27.23</v>
      </c>
      <c r="G438" s="17"/>
      <c r="H438" s="16">
        <v>214.75</v>
      </c>
      <c r="I438" s="17"/>
      <c r="J438" s="17">
        <v>27.23</v>
      </c>
      <c r="K438" s="17"/>
      <c r="L438" s="17">
        <v>203.916</v>
      </c>
      <c r="M438" s="50"/>
      <c r="N438" s="17">
        <v>27.23</v>
      </c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5379.38</v>
      </c>
      <c r="F439" s="17"/>
      <c r="G439" s="17">
        <v>662</v>
      </c>
      <c r="H439" s="16"/>
      <c r="I439" s="17">
        <v>5379.38</v>
      </c>
      <c r="J439" s="17"/>
      <c r="K439" s="17">
        <v>662</v>
      </c>
      <c r="L439" s="17"/>
      <c r="M439" s="50">
        <f>(L438+L440)/2*25</f>
        <v>5102.85</v>
      </c>
      <c r="N439" s="17"/>
      <c r="O439" s="22">
        <v>662</v>
      </c>
      <c r="P439" s="19">
        <f t="shared" ref="P439:P443" si="71">I439+K439-M439-O439</f>
        <v>276.53</v>
      </c>
    </row>
    <row r="440" ht="12" customHeight="1" spans="1:16">
      <c r="A440" s="14">
        <v>216</v>
      </c>
      <c r="B440" s="15" t="s">
        <v>231</v>
      </c>
      <c r="C440" s="18"/>
      <c r="D440" s="16">
        <v>215.6</v>
      </c>
      <c r="E440" s="17"/>
      <c r="F440" s="17">
        <v>25.73</v>
      </c>
      <c r="G440" s="17"/>
      <c r="H440" s="16">
        <v>215.6</v>
      </c>
      <c r="I440" s="17"/>
      <c r="J440" s="17">
        <v>25.73</v>
      </c>
      <c r="K440" s="17"/>
      <c r="L440" s="17">
        <v>204.312</v>
      </c>
      <c r="M440" s="50"/>
      <c r="N440" s="17">
        <v>25.73</v>
      </c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5146.63</v>
      </c>
      <c r="F441" s="17"/>
      <c r="G441" s="17">
        <v>615.13</v>
      </c>
      <c r="H441" s="16"/>
      <c r="I441" s="17">
        <v>5146.63</v>
      </c>
      <c r="J441" s="17"/>
      <c r="K441" s="17">
        <v>615.13</v>
      </c>
      <c r="L441" s="17"/>
      <c r="M441" s="50">
        <f>(L440+L442)/2*25</f>
        <v>4859.85</v>
      </c>
      <c r="N441" s="17"/>
      <c r="O441" s="22">
        <v>615.13</v>
      </c>
      <c r="P441" s="19">
        <f t="shared" si="71"/>
        <v>286.78</v>
      </c>
    </row>
    <row r="442" ht="12" customHeight="1" spans="1:16">
      <c r="A442" s="14">
        <v>217</v>
      </c>
      <c r="B442" s="15" t="s">
        <v>232</v>
      </c>
      <c r="C442" s="25"/>
      <c r="D442" s="16">
        <v>196.13</v>
      </c>
      <c r="E442" s="17"/>
      <c r="F442" s="17">
        <v>23.48</v>
      </c>
      <c r="G442" s="17"/>
      <c r="H442" s="16">
        <v>196.13</v>
      </c>
      <c r="I442" s="17"/>
      <c r="J442" s="17">
        <v>23.48</v>
      </c>
      <c r="K442" s="17"/>
      <c r="L442" s="17">
        <v>184.476</v>
      </c>
      <c r="M442" s="50"/>
      <c r="N442" s="17">
        <v>23.48</v>
      </c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4834</v>
      </c>
      <c r="F443" s="17"/>
      <c r="G443" s="17">
        <v>599.5</v>
      </c>
      <c r="H443" s="16"/>
      <c r="I443" s="17">
        <v>4834</v>
      </c>
      <c r="J443" s="17"/>
      <c r="K443" s="17">
        <v>599.5</v>
      </c>
      <c r="L443" s="17"/>
      <c r="M443" s="50">
        <f>(L442+L444)/2*25</f>
        <v>4621.05</v>
      </c>
      <c r="N443" s="17"/>
      <c r="O443" s="22">
        <v>599.5</v>
      </c>
      <c r="P443" s="19">
        <f t="shared" si="71"/>
        <v>212.950000000001</v>
      </c>
    </row>
    <row r="444" ht="12" customHeight="1" spans="1:16">
      <c r="A444" s="14">
        <v>218</v>
      </c>
      <c r="B444" s="15" t="s">
        <v>233</v>
      </c>
      <c r="C444" s="18"/>
      <c r="D444" s="16">
        <v>190.59</v>
      </c>
      <c r="E444" s="17"/>
      <c r="F444" s="17">
        <v>24.48</v>
      </c>
      <c r="G444" s="17"/>
      <c r="H444" s="16">
        <v>190.59</v>
      </c>
      <c r="I444" s="17"/>
      <c r="J444" s="17">
        <v>24.48</v>
      </c>
      <c r="K444" s="17"/>
      <c r="L444" s="17">
        <v>185.208</v>
      </c>
      <c r="M444" s="50"/>
      <c r="N444" s="17">
        <v>24.48</v>
      </c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4514.5</v>
      </c>
      <c r="F445" s="17"/>
      <c r="G445" s="17">
        <v>586.88</v>
      </c>
      <c r="H445" s="16"/>
      <c r="I445" s="17">
        <v>4514.5</v>
      </c>
      <c r="J445" s="17"/>
      <c r="K445" s="17">
        <v>586.88</v>
      </c>
      <c r="L445" s="17"/>
      <c r="M445" s="50">
        <f>(L444+L446)/2*25</f>
        <v>4292.4</v>
      </c>
      <c r="N445" s="17"/>
      <c r="O445" s="22">
        <v>586.88</v>
      </c>
      <c r="P445" s="19">
        <f t="shared" ref="P445:P449" si="72">I445+K445-M445-O445</f>
        <v>222.1</v>
      </c>
    </row>
    <row r="446" ht="12" customHeight="1" spans="1:16">
      <c r="A446" s="14">
        <v>219</v>
      </c>
      <c r="B446" s="15" t="s">
        <v>234</v>
      </c>
      <c r="C446" s="18"/>
      <c r="D446" s="16">
        <v>170.57</v>
      </c>
      <c r="E446" s="17"/>
      <c r="F446" s="17">
        <v>22.47</v>
      </c>
      <c r="G446" s="17"/>
      <c r="H446" s="16">
        <v>170.57</v>
      </c>
      <c r="I446" s="17"/>
      <c r="J446" s="17">
        <v>22.47</v>
      </c>
      <c r="K446" s="17"/>
      <c r="L446" s="17">
        <v>158.184</v>
      </c>
      <c r="M446" s="50"/>
      <c r="N446" s="17">
        <v>22.47</v>
      </c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4245</v>
      </c>
      <c r="F447" s="17"/>
      <c r="G447" s="17">
        <v>536.25</v>
      </c>
      <c r="H447" s="16"/>
      <c r="I447" s="17">
        <v>4245</v>
      </c>
      <c r="J447" s="17"/>
      <c r="K447" s="17">
        <v>536.25</v>
      </c>
      <c r="L447" s="17"/>
      <c r="M447" s="50">
        <f>(L446+L448)/2*25</f>
        <v>4025.85</v>
      </c>
      <c r="N447" s="17"/>
      <c r="O447" s="22">
        <v>536.25</v>
      </c>
      <c r="P447" s="19">
        <f t="shared" si="72"/>
        <v>219.15</v>
      </c>
    </row>
    <row r="448" ht="12" customHeight="1" spans="1:16">
      <c r="A448" s="14">
        <v>220</v>
      </c>
      <c r="B448" s="15" t="s">
        <v>235</v>
      </c>
      <c r="C448" s="25"/>
      <c r="D448" s="16">
        <v>169.03</v>
      </c>
      <c r="E448" s="17"/>
      <c r="F448" s="17">
        <v>20.43</v>
      </c>
      <c r="G448" s="17"/>
      <c r="H448" s="16">
        <v>169.03</v>
      </c>
      <c r="I448" s="17"/>
      <c r="J448" s="17">
        <v>20.43</v>
      </c>
      <c r="K448" s="17"/>
      <c r="L448" s="17">
        <v>163.884</v>
      </c>
      <c r="M448" s="50"/>
      <c r="N448" s="17">
        <v>20.43</v>
      </c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4093.25</v>
      </c>
      <c r="F449" s="17"/>
      <c r="G449" s="17">
        <v>504.13</v>
      </c>
      <c r="H449" s="16"/>
      <c r="I449" s="17">
        <v>4093.25</v>
      </c>
      <c r="J449" s="17"/>
      <c r="K449" s="17">
        <v>504.13</v>
      </c>
      <c r="L449" s="17"/>
      <c r="M449" s="50">
        <f>(L448+L450)/2*25</f>
        <v>3990.225</v>
      </c>
      <c r="N449" s="17"/>
      <c r="O449" s="22">
        <v>504.13</v>
      </c>
      <c r="P449" s="19">
        <f t="shared" si="72"/>
        <v>103.025000000001</v>
      </c>
    </row>
    <row r="450" ht="12" customHeight="1" spans="1:16">
      <c r="A450" s="14">
        <v>221</v>
      </c>
      <c r="B450" s="15" t="s">
        <v>236</v>
      </c>
      <c r="C450" s="18"/>
      <c r="D450" s="16">
        <v>158.43</v>
      </c>
      <c r="E450" s="17"/>
      <c r="F450" s="17">
        <v>19.9</v>
      </c>
      <c r="G450" s="17"/>
      <c r="H450" s="16">
        <v>158.43</v>
      </c>
      <c r="I450" s="17"/>
      <c r="J450" s="17">
        <v>19.9</v>
      </c>
      <c r="K450" s="17"/>
      <c r="L450" s="17">
        <v>155.334</v>
      </c>
      <c r="M450" s="50"/>
      <c r="N450" s="17">
        <v>19.9</v>
      </c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3844</v>
      </c>
      <c r="F451" s="17"/>
      <c r="G451" s="17">
        <v>458.13</v>
      </c>
      <c r="H451" s="16"/>
      <c r="I451" s="17">
        <v>3844</v>
      </c>
      <c r="J451" s="17"/>
      <c r="K451" s="17">
        <v>458.13</v>
      </c>
      <c r="L451" s="17"/>
      <c r="M451" s="50">
        <f>(L450+L452)/2*25</f>
        <v>3705</v>
      </c>
      <c r="N451" s="17"/>
      <c r="O451" s="22">
        <v>458.13</v>
      </c>
      <c r="P451" s="19">
        <f t="shared" ref="P451:P455" si="73">I451+K451-M451-O451</f>
        <v>139.000000000001</v>
      </c>
    </row>
    <row r="452" ht="12" customHeight="1" spans="1:16">
      <c r="A452" s="14">
        <v>222</v>
      </c>
      <c r="B452" s="15" t="s">
        <v>237</v>
      </c>
      <c r="C452" s="18"/>
      <c r="D452" s="16">
        <v>149.09</v>
      </c>
      <c r="E452" s="17"/>
      <c r="F452" s="17">
        <v>16.75</v>
      </c>
      <c r="G452" s="17"/>
      <c r="H452" s="16">
        <v>149.09</v>
      </c>
      <c r="I452" s="17"/>
      <c r="J452" s="17">
        <v>16.75</v>
      </c>
      <c r="K452" s="17"/>
      <c r="L452" s="17">
        <v>141.066</v>
      </c>
      <c r="M452" s="50"/>
      <c r="N452" s="17">
        <v>16.75</v>
      </c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3027.63</v>
      </c>
      <c r="F453" s="17"/>
      <c r="G453" s="17">
        <v>414.63</v>
      </c>
      <c r="H453" s="16"/>
      <c r="I453" s="17">
        <v>3027.63</v>
      </c>
      <c r="J453" s="17"/>
      <c r="K453" s="17">
        <v>414.63</v>
      </c>
      <c r="L453" s="17"/>
      <c r="M453" s="50">
        <f>(L452+L454)/2*25</f>
        <v>2927.325</v>
      </c>
      <c r="N453" s="17"/>
      <c r="O453" s="22">
        <v>414.63</v>
      </c>
      <c r="P453" s="19">
        <f t="shared" si="73"/>
        <v>100.305</v>
      </c>
    </row>
    <row r="454" ht="12" customHeight="1" spans="1:16">
      <c r="A454" s="14">
        <v>223</v>
      </c>
      <c r="B454" s="15" t="s">
        <v>238</v>
      </c>
      <c r="C454" s="25"/>
      <c r="D454" s="16">
        <v>93.12</v>
      </c>
      <c r="E454" s="17"/>
      <c r="F454" s="17">
        <v>16.42</v>
      </c>
      <c r="G454" s="17"/>
      <c r="H454" s="16">
        <v>93.12</v>
      </c>
      <c r="I454" s="17"/>
      <c r="J454" s="17">
        <v>16.42</v>
      </c>
      <c r="K454" s="17"/>
      <c r="L454" s="17">
        <v>93.12</v>
      </c>
      <c r="M454" s="50"/>
      <c r="N454" s="17">
        <v>16.42</v>
      </c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2298.5</v>
      </c>
      <c r="F455" s="17"/>
      <c r="G455" s="17">
        <v>425.13</v>
      </c>
      <c r="H455" s="16"/>
      <c r="I455" s="17">
        <v>2298.5</v>
      </c>
      <c r="J455" s="17"/>
      <c r="K455" s="17">
        <v>425.13</v>
      </c>
      <c r="L455" s="17"/>
      <c r="M455" s="22">
        <v>2298.5</v>
      </c>
      <c r="N455" s="17"/>
      <c r="O455" s="22">
        <v>425.13</v>
      </c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90.76</v>
      </c>
      <c r="E456" s="17"/>
      <c r="F456" s="17">
        <v>17.59</v>
      </c>
      <c r="G456" s="17"/>
      <c r="H456" s="16">
        <v>90.76</v>
      </c>
      <c r="I456" s="17"/>
      <c r="J456" s="17">
        <v>17.59</v>
      </c>
      <c r="K456" s="17"/>
      <c r="L456" s="17">
        <v>90.76</v>
      </c>
      <c r="M456" s="22"/>
      <c r="N456" s="17">
        <v>17.59</v>
      </c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3096.13</v>
      </c>
      <c r="F457" s="17"/>
      <c r="G457" s="17">
        <v>456.63</v>
      </c>
      <c r="H457" s="16"/>
      <c r="I457" s="17">
        <v>3096.13</v>
      </c>
      <c r="J457" s="17"/>
      <c r="K457" s="17">
        <v>456.63</v>
      </c>
      <c r="L457" s="17"/>
      <c r="M457" s="22">
        <v>3096.13</v>
      </c>
      <c r="N457" s="17"/>
      <c r="O457" s="22">
        <v>456.63</v>
      </c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156.93</v>
      </c>
      <c r="E458" s="17"/>
      <c r="F458" s="17">
        <v>18.94</v>
      </c>
      <c r="G458" s="17"/>
      <c r="H458" s="16">
        <v>156.93</v>
      </c>
      <c r="I458" s="17"/>
      <c r="J458" s="17">
        <v>18.94</v>
      </c>
      <c r="K458" s="17"/>
      <c r="L458" s="17">
        <v>156.93</v>
      </c>
      <c r="M458" s="22"/>
      <c r="N458" s="17">
        <v>18.94</v>
      </c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4618.63</v>
      </c>
      <c r="F459" s="17"/>
      <c r="G459" s="17">
        <v>516.88</v>
      </c>
      <c r="H459" s="16"/>
      <c r="I459" s="17">
        <v>4618.63</v>
      </c>
      <c r="J459" s="17"/>
      <c r="K459" s="17">
        <v>516.88</v>
      </c>
      <c r="L459" s="17"/>
      <c r="M459" s="22">
        <v>4618.63</v>
      </c>
      <c r="N459" s="17"/>
      <c r="O459" s="22">
        <v>516.88</v>
      </c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212.56</v>
      </c>
      <c r="E460" s="17"/>
      <c r="F460" s="17">
        <v>22.41</v>
      </c>
      <c r="G460" s="17"/>
      <c r="H460" s="16">
        <v>212.56</v>
      </c>
      <c r="I460" s="17"/>
      <c r="J460" s="17">
        <v>22.41</v>
      </c>
      <c r="K460" s="17"/>
      <c r="L460" s="17">
        <v>212.56</v>
      </c>
      <c r="M460" s="22"/>
      <c r="N460" s="17">
        <v>22.41</v>
      </c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5199</v>
      </c>
      <c r="F461" s="17"/>
      <c r="G461" s="17">
        <v>583.13</v>
      </c>
      <c r="H461" s="16"/>
      <c r="I461" s="17">
        <v>5199</v>
      </c>
      <c r="J461" s="17"/>
      <c r="K461" s="17">
        <v>583.13</v>
      </c>
      <c r="L461" s="17"/>
      <c r="M461" s="22">
        <v>5199</v>
      </c>
      <c r="N461" s="17"/>
      <c r="O461" s="22">
        <v>583.13</v>
      </c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203.36</v>
      </c>
      <c r="E462" s="17"/>
      <c r="F462" s="17">
        <v>24.24</v>
      </c>
      <c r="G462" s="17"/>
      <c r="H462" s="16">
        <v>203.36</v>
      </c>
      <c r="I462" s="17"/>
      <c r="J462" s="17">
        <v>24.24</v>
      </c>
      <c r="K462" s="17"/>
      <c r="L462" s="17">
        <v>203.36</v>
      </c>
      <c r="M462" s="22"/>
      <c r="N462" s="17">
        <v>24.24</v>
      </c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5301.88</v>
      </c>
      <c r="F463" s="17"/>
      <c r="G463" s="17">
        <v>645.25</v>
      </c>
      <c r="H463" s="16"/>
      <c r="I463" s="17">
        <v>5301.88</v>
      </c>
      <c r="J463" s="17"/>
      <c r="K463" s="17">
        <v>645.25</v>
      </c>
      <c r="L463" s="17"/>
      <c r="M463" s="22">
        <v>5301.88</v>
      </c>
      <c r="N463" s="17"/>
      <c r="O463" s="22">
        <v>645.25</v>
      </c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220.79</v>
      </c>
      <c r="E464" s="17"/>
      <c r="F464" s="17">
        <v>27.38</v>
      </c>
      <c r="G464" s="17"/>
      <c r="H464" s="16">
        <v>220.79</v>
      </c>
      <c r="I464" s="17"/>
      <c r="J464" s="17">
        <v>27.38</v>
      </c>
      <c r="K464" s="17"/>
      <c r="L464" s="17">
        <v>220.79</v>
      </c>
      <c r="M464" s="22"/>
      <c r="N464" s="17">
        <v>27.38</v>
      </c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5317.75</v>
      </c>
      <c r="F465" s="17"/>
      <c r="G465" s="17">
        <v>683</v>
      </c>
      <c r="H465" s="16"/>
      <c r="I465" s="17">
        <v>5317.75</v>
      </c>
      <c r="J465" s="17"/>
      <c r="K465" s="17">
        <v>683</v>
      </c>
      <c r="L465" s="17"/>
      <c r="M465" s="22">
        <v>5317.75</v>
      </c>
      <c r="N465" s="17"/>
      <c r="O465" s="22">
        <v>683</v>
      </c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204.63</v>
      </c>
      <c r="E466" s="17"/>
      <c r="F466" s="17">
        <v>27.26</v>
      </c>
      <c r="G466" s="17"/>
      <c r="H466" s="16">
        <v>204.63</v>
      </c>
      <c r="I466" s="17"/>
      <c r="J466" s="17">
        <v>27.26</v>
      </c>
      <c r="K466" s="17"/>
      <c r="L466" s="17">
        <v>204.63</v>
      </c>
      <c r="M466" s="22"/>
      <c r="N466" s="17">
        <v>27.26</v>
      </c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5279.38</v>
      </c>
      <c r="F467" s="17"/>
      <c r="G467" s="17">
        <v>671.38</v>
      </c>
      <c r="H467" s="16"/>
      <c r="I467" s="17">
        <v>5279.38</v>
      </c>
      <c r="J467" s="17"/>
      <c r="K467" s="17">
        <v>671.38</v>
      </c>
      <c r="L467" s="17"/>
      <c r="M467" s="22">
        <v>5279.38</v>
      </c>
      <c r="N467" s="17"/>
      <c r="O467" s="22">
        <v>671.38</v>
      </c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217.72</v>
      </c>
      <c r="E468" s="17"/>
      <c r="F468" s="17">
        <v>26.45</v>
      </c>
      <c r="G468" s="17"/>
      <c r="H468" s="16">
        <v>217.72</v>
      </c>
      <c r="I468" s="17"/>
      <c r="J468" s="17">
        <v>26.45</v>
      </c>
      <c r="K468" s="17"/>
      <c r="L468" s="17">
        <v>217.72</v>
      </c>
      <c r="M468" s="22"/>
      <c r="N468" s="17">
        <v>26.45</v>
      </c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2721.5</v>
      </c>
      <c r="F469" s="17"/>
      <c r="G469" s="17">
        <v>330.63</v>
      </c>
      <c r="H469" s="16"/>
      <c r="I469" s="17">
        <v>2721.5</v>
      </c>
      <c r="J469" s="17"/>
      <c r="K469" s="17">
        <v>330.63</v>
      </c>
      <c r="L469" s="17"/>
      <c r="M469" s="22">
        <v>2721.5</v>
      </c>
      <c r="N469" s="17"/>
      <c r="O469" s="22">
        <v>330.63</v>
      </c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>
        <v>0</v>
      </c>
      <c r="I470" s="17"/>
      <c r="J470" s="17">
        <v>0</v>
      </c>
      <c r="K470" s="17"/>
      <c r="L470" s="17">
        <v>0</v>
      </c>
      <c r="M470" s="22"/>
      <c r="N470" s="17">
        <v>0</v>
      </c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2332.5</v>
      </c>
      <c r="F471" s="17"/>
      <c r="G471" s="17">
        <v>333.25</v>
      </c>
      <c r="H471" s="16"/>
      <c r="I471" s="17">
        <v>2332.5</v>
      </c>
      <c r="J471" s="17"/>
      <c r="K471" s="17">
        <v>333.25</v>
      </c>
      <c r="L471" s="17"/>
      <c r="M471" s="22">
        <v>2332.5</v>
      </c>
      <c r="N471" s="17"/>
      <c r="O471" s="22">
        <v>333.25</v>
      </c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186.6</v>
      </c>
      <c r="E472" s="17"/>
      <c r="F472" s="17">
        <v>26.66</v>
      </c>
      <c r="G472" s="17"/>
      <c r="H472" s="16">
        <v>186.6</v>
      </c>
      <c r="I472" s="17"/>
      <c r="J472" s="17">
        <v>26.66</v>
      </c>
      <c r="K472" s="17"/>
      <c r="L472" s="17">
        <v>186.6</v>
      </c>
      <c r="M472" s="22"/>
      <c r="N472" s="17">
        <v>26.66</v>
      </c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4718.25</v>
      </c>
      <c r="F473" s="17"/>
      <c r="G473" s="17">
        <v>665.13</v>
      </c>
      <c r="H473" s="16"/>
      <c r="I473" s="17">
        <v>4718.25</v>
      </c>
      <c r="J473" s="17"/>
      <c r="K473" s="17">
        <v>665.13</v>
      </c>
      <c r="L473" s="17"/>
      <c r="M473" s="22">
        <v>4718.25</v>
      </c>
      <c r="N473" s="17"/>
      <c r="O473" s="22">
        <v>665.13</v>
      </c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190.86</v>
      </c>
      <c r="E474" s="17"/>
      <c r="F474" s="17">
        <v>26.55</v>
      </c>
      <c r="G474" s="17"/>
      <c r="H474" s="16">
        <v>190.86</v>
      </c>
      <c r="I474" s="17"/>
      <c r="J474" s="17">
        <v>26.55</v>
      </c>
      <c r="K474" s="17"/>
      <c r="L474" s="17">
        <v>190.86</v>
      </c>
      <c r="M474" s="22"/>
      <c r="N474" s="17">
        <v>26.55</v>
      </c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4671.5</v>
      </c>
      <c r="F475" s="17"/>
      <c r="G475" s="17">
        <v>676.63</v>
      </c>
      <c r="H475" s="16"/>
      <c r="I475" s="17">
        <v>4671.5</v>
      </c>
      <c r="J475" s="17"/>
      <c r="K475" s="17">
        <v>676.63</v>
      </c>
      <c r="L475" s="17"/>
      <c r="M475" s="22">
        <v>4671.5</v>
      </c>
      <c r="N475" s="17"/>
      <c r="O475" s="22">
        <v>676.63</v>
      </c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182.86</v>
      </c>
      <c r="E476" s="17"/>
      <c r="F476" s="17">
        <v>27.58</v>
      </c>
      <c r="G476" s="17"/>
      <c r="H476" s="16">
        <v>182.86</v>
      </c>
      <c r="I476" s="17"/>
      <c r="J476" s="17">
        <v>27.58</v>
      </c>
      <c r="K476" s="17"/>
      <c r="L476" s="17">
        <v>182.86</v>
      </c>
      <c r="M476" s="22"/>
      <c r="N476" s="17">
        <v>27.58</v>
      </c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4405.88</v>
      </c>
      <c r="F477" s="17"/>
      <c r="G477" s="17">
        <v>632.25</v>
      </c>
      <c r="H477" s="16"/>
      <c r="I477" s="17">
        <v>4405.88</v>
      </c>
      <c r="J477" s="17"/>
      <c r="K477" s="17">
        <v>632.25</v>
      </c>
      <c r="L477" s="17"/>
      <c r="M477" s="22">
        <v>4405.88</v>
      </c>
      <c r="N477" s="17"/>
      <c r="O477" s="22">
        <v>632.25</v>
      </c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169.61</v>
      </c>
      <c r="E478" s="17"/>
      <c r="F478" s="17">
        <v>23</v>
      </c>
      <c r="G478" s="17"/>
      <c r="H478" s="16">
        <v>169.61</v>
      </c>
      <c r="I478" s="17"/>
      <c r="J478" s="17">
        <v>23</v>
      </c>
      <c r="K478" s="17"/>
      <c r="L478" s="17">
        <v>169.61</v>
      </c>
      <c r="M478" s="22"/>
      <c r="N478" s="17">
        <v>23</v>
      </c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4394.88</v>
      </c>
      <c r="F479" s="17"/>
      <c r="G479" s="17">
        <v>549.25</v>
      </c>
      <c r="H479" s="16"/>
      <c r="I479" s="17">
        <v>4394.88</v>
      </c>
      <c r="J479" s="17"/>
      <c r="K479" s="17">
        <v>549.25</v>
      </c>
      <c r="L479" s="17"/>
      <c r="M479" s="22">
        <v>4394.88</v>
      </c>
      <c r="N479" s="17"/>
      <c r="O479" s="22">
        <v>549.25</v>
      </c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181.98</v>
      </c>
      <c r="E480" s="17"/>
      <c r="F480" s="17">
        <v>20.94</v>
      </c>
      <c r="G480" s="17"/>
      <c r="H480" s="16">
        <v>181.98</v>
      </c>
      <c r="I480" s="17"/>
      <c r="J480" s="17">
        <v>20.94</v>
      </c>
      <c r="K480" s="17"/>
      <c r="L480" s="17">
        <v>181.98</v>
      </c>
      <c r="M480" s="22"/>
      <c r="N480" s="17">
        <v>20.94</v>
      </c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4090.25</v>
      </c>
      <c r="F481" s="17"/>
      <c r="G481" s="24">
        <v>508.63</v>
      </c>
      <c r="H481" s="16"/>
      <c r="I481" s="24">
        <v>4090.25</v>
      </c>
      <c r="J481" s="17"/>
      <c r="K481" s="24">
        <v>508.63</v>
      </c>
      <c r="L481" s="17"/>
      <c r="M481" s="24">
        <v>4090.25</v>
      </c>
      <c r="N481" s="17"/>
      <c r="O481" s="24">
        <v>508.63</v>
      </c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145.24</v>
      </c>
      <c r="E482" s="26"/>
      <c r="F482" s="17">
        <v>19.75</v>
      </c>
      <c r="G482" s="26"/>
      <c r="H482" s="16">
        <v>145.24</v>
      </c>
      <c r="I482" s="26"/>
      <c r="J482" s="17">
        <v>19.75</v>
      </c>
      <c r="K482" s="26"/>
      <c r="L482" s="17">
        <v>145.24</v>
      </c>
      <c r="M482" s="26"/>
      <c r="N482" s="17">
        <v>19.75</v>
      </c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3719.13</v>
      </c>
      <c r="F483" s="17"/>
      <c r="G483" s="17">
        <v>478.13</v>
      </c>
      <c r="H483" s="16"/>
      <c r="I483" s="17">
        <v>3719.13</v>
      </c>
      <c r="J483" s="17"/>
      <c r="K483" s="17">
        <v>478.13</v>
      </c>
      <c r="L483" s="17"/>
      <c r="M483" s="22">
        <v>3719.13</v>
      </c>
      <c r="N483" s="17"/>
      <c r="O483" s="22">
        <v>478.13</v>
      </c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152.29</v>
      </c>
      <c r="E484" s="17"/>
      <c r="F484" s="17">
        <v>18.5</v>
      </c>
      <c r="G484" s="17"/>
      <c r="H484" s="16">
        <v>152.29</v>
      </c>
      <c r="I484" s="17"/>
      <c r="J484" s="17">
        <v>18.5</v>
      </c>
      <c r="K484" s="17"/>
      <c r="L484" s="17">
        <v>152.29</v>
      </c>
      <c r="M484" s="22"/>
      <c r="N484" s="17">
        <v>18.5</v>
      </c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3539.13</v>
      </c>
      <c r="F485" s="17"/>
      <c r="G485" s="17">
        <v>423.75</v>
      </c>
      <c r="H485" s="16"/>
      <c r="I485" s="17">
        <v>3539.13</v>
      </c>
      <c r="J485" s="17"/>
      <c r="K485" s="17">
        <v>423.75</v>
      </c>
      <c r="L485" s="17"/>
      <c r="M485" s="22">
        <v>3539.13</v>
      </c>
      <c r="N485" s="17"/>
      <c r="O485" s="22">
        <v>423.75</v>
      </c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130.84</v>
      </c>
      <c r="E486" s="17"/>
      <c r="F486" s="17">
        <v>15.4</v>
      </c>
      <c r="G486" s="17"/>
      <c r="H486" s="16">
        <v>130.84</v>
      </c>
      <c r="I486" s="17"/>
      <c r="J486" s="17">
        <v>15.4</v>
      </c>
      <c r="K486" s="17"/>
      <c r="L486" s="17">
        <v>130.84</v>
      </c>
      <c r="M486" s="22"/>
      <c r="N486" s="17">
        <v>15.4</v>
      </c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3169.88</v>
      </c>
      <c r="F487" s="17"/>
      <c r="G487" s="17">
        <v>389.38</v>
      </c>
      <c r="H487" s="16"/>
      <c r="I487" s="17">
        <v>3169.88</v>
      </c>
      <c r="J487" s="17"/>
      <c r="K487" s="17">
        <v>389.38</v>
      </c>
      <c r="L487" s="17"/>
      <c r="M487" s="22">
        <v>3169.88</v>
      </c>
      <c r="N487" s="17"/>
      <c r="O487" s="22">
        <v>389.38</v>
      </c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122.75</v>
      </c>
      <c r="E488" s="17"/>
      <c r="F488" s="17">
        <v>15.75</v>
      </c>
      <c r="G488" s="17"/>
      <c r="H488" s="16">
        <v>122.75</v>
      </c>
      <c r="I488" s="17"/>
      <c r="J488" s="17">
        <v>15.75</v>
      </c>
      <c r="K488" s="17"/>
      <c r="L488" s="17">
        <v>122.75</v>
      </c>
      <c r="M488" s="22"/>
      <c r="N488" s="17">
        <v>15.75</v>
      </c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1534.38</v>
      </c>
      <c r="F489" s="17"/>
      <c r="G489" s="17">
        <v>196.88</v>
      </c>
      <c r="H489" s="16"/>
      <c r="I489" s="17">
        <v>1534.38</v>
      </c>
      <c r="J489" s="17"/>
      <c r="K489" s="17">
        <v>196.88</v>
      </c>
      <c r="L489" s="17"/>
      <c r="M489" s="22">
        <v>1534.38</v>
      </c>
      <c r="N489" s="17"/>
      <c r="O489" s="22">
        <v>196.88</v>
      </c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0</v>
      </c>
      <c r="E490" s="17"/>
      <c r="F490" s="17">
        <v>0</v>
      </c>
      <c r="G490" s="17"/>
      <c r="H490" s="16">
        <v>0</v>
      </c>
      <c r="I490" s="17"/>
      <c r="J490" s="17">
        <v>0</v>
      </c>
      <c r="K490" s="17"/>
      <c r="L490" s="17">
        <v>0</v>
      </c>
      <c r="M490" s="22"/>
      <c r="N490" s="17">
        <v>0</v>
      </c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0</v>
      </c>
      <c r="F491" s="17"/>
      <c r="G491" s="17">
        <v>0</v>
      </c>
      <c r="H491" s="16"/>
      <c r="I491" s="17">
        <v>0</v>
      </c>
      <c r="J491" s="17"/>
      <c r="K491" s="17">
        <v>0</v>
      </c>
      <c r="L491" s="17"/>
      <c r="M491" s="22">
        <v>0</v>
      </c>
      <c r="N491" s="17"/>
      <c r="O491" s="22">
        <v>0</v>
      </c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0</v>
      </c>
      <c r="E492" s="17"/>
      <c r="F492" s="17">
        <v>0</v>
      </c>
      <c r="G492" s="17"/>
      <c r="H492" s="16">
        <v>0</v>
      </c>
      <c r="I492" s="17"/>
      <c r="J492" s="17">
        <v>0</v>
      </c>
      <c r="K492" s="17"/>
      <c r="L492" s="17">
        <v>0</v>
      </c>
      <c r="M492" s="22"/>
      <c r="N492" s="17">
        <v>0</v>
      </c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0</v>
      </c>
      <c r="F493" s="17"/>
      <c r="G493" s="17">
        <v>0</v>
      </c>
      <c r="H493" s="16"/>
      <c r="I493" s="17">
        <v>0</v>
      </c>
      <c r="J493" s="17"/>
      <c r="K493" s="17">
        <v>0</v>
      </c>
      <c r="L493" s="17"/>
      <c r="M493" s="22">
        <v>0</v>
      </c>
      <c r="N493" s="17"/>
      <c r="O493" s="22">
        <v>0</v>
      </c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0</v>
      </c>
      <c r="E494" s="17"/>
      <c r="F494" s="17">
        <v>0</v>
      </c>
      <c r="G494" s="17"/>
      <c r="H494" s="16">
        <v>0</v>
      </c>
      <c r="I494" s="17"/>
      <c r="J494" s="17">
        <v>0</v>
      </c>
      <c r="K494" s="17"/>
      <c r="L494" s="17">
        <v>0</v>
      </c>
      <c r="M494" s="22"/>
      <c r="N494" s="17">
        <v>0</v>
      </c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0</v>
      </c>
      <c r="F495" s="17"/>
      <c r="G495" s="17">
        <v>0</v>
      </c>
      <c r="H495" s="16"/>
      <c r="I495" s="17">
        <v>0</v>
      </c>
      <c r="J495" s="17"/>
      <c r="K495" s="17">
        <v>0</v>
      </c>
      <c r="L495" s="17"/>
      <c r="M495" s="22">
        <v>0</v>
      </c>
      <c r="N495" s="17"/>
      <c r="O495" s="22">
        <v>0</v>
      </c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0</v>
      </c>
      <c r="E496" s="17"/>
      <c r="F496" s="17">
        <v>0</v>
      </c>
      <c r="G496" s="17"/>
      <c r="H496" s="16">
        <v>0</v>
      </c>
      <c r="I496" s="17"/>
      <c r="J496" s="17">
        <v>0</v>
      </c>
      <c r="K496" s="17"/>
      <c r="L496" s="17">
        <v>0</v>
      </c>
      <c r="M496" s="22"/>
      <c r="N496" s="17">
        <v>0</v>
      </c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0</v>
      </c>
      <c r="F497" s="17"/>
      <c r="G497" s="17">
        <v>0</v>
      </c>
      <c r="H497" s="16"/>
      <c r="I497" s="17">
        <v>0</v>
      </c>
      <c r="J497" s="17"/>
      <c r="K497" s="17">
        <v>0</v>
      </c>
      <c r="L497" s="17"/>
      <c r="M497" s="22">
        <v>0</v>
      </c>
      <c r="N497" s="17"/>
      <c r="O497" s="22">
        <v>0</v>
      </c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>
        <v>0</v>
      </c>
      <c r="I498" s="17"/>
      <c r="J498" s="17">
        <v>0</v>
      </c>
      <c r="K498" s="17"/>
      <c r="L498" s="17">
        <v>0</v>
      </c>
      <c r="M498" s="22"/>
      <c r="N498" s="17">
        <v>0</v>
      </c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1"/>
      <c r="E500" s="31">
        <f t="shared" ref="E500:I500" si="81">SUM(E10:E499)</f>
        <v>217798.42</v>
      </c>
      <c r="F500" s="31"/>
      <c r="G500" s="31">
        <f t="shared" si="81"/>
        <v>25072.88</v>
      </c>
      <c r="H500" s="31"/>
      <c r="I500" s="31">
        <f t="shared" si="81"/>
        <v>217798.42</v>
      </c>
      <c r="J500" s="31"/>
      <c r="K500" s="31">
        <f>SUM(K10:K499)</f>
        <v>25072.88</v>
      </c>
      <c r="L500" s="30"/>
      <c r="M500" s="31">
        <f>SUM(M10:M499)</f>
        <v>211793.31</v>
      </c>
      <c r="N500" s="30"/>
      <c r="O500" s="31">
        <f>SUM(O10:O499)</f>
        <v>25072.88</v>
      </c>
      <c r="P500" s="31">
        <f>SUM(P10:P499)</f>
        <v>6005.11000000001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s="49" customFormat="1" ht="14.4" spans="1:16">
      <c r="A507" s="51" t="s">
        <v>277</v>
      </c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P509"/>
  <sheetViews>
    <sheetView view="pageBreakPreview" zoomScaleNormal="100" workbookViewId="0">
      <pane xSplit="1" ySplit="9" topLeftCell="B64" activePane="bottomRight" state="frozen"/>
      <selection/>
      <selection pane="topRight"/>
      <selection pane="bottomLeft"/>
      <selection pane="bottomRight" activeCell="L76" sqref="L76:L77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278</v>
      </c>
      <c r="E7" s="7"/>
      <c r="F7" s="7"/>
      <c r="G7" s="7"/>
      <c r="H7" s="8" t="s">
        <v>279</v>
      </c>
      <c r="I7" s="7"/>
      <c r="J7" s="7"/>
      <c r="K7" s="7"/>
      <c r="L7" s="8" t="s">
        <v>280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>
        <v>0</v>
      </c>
      <c r="I10" s="13"/>
      <c r="J10" s="17">
        <v>0</v>
      </c>
      <c r="K10" s="13"/>
      <c r="L10" s="17">
        <v>0</v>
      </c>
      <c r="M10" s="11"/>
      <c r="N10" s="17">
        <v>0</v>
      </c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>
        <v>0</v>
      </c>
      <c r="J11" s="17"/>
      <c r="K11" s="17">
        <v>0</v>
      </c>
      <c r="L11" s="17"/>
      <c r="M11" s="17">
        <v>0</v>
      </c>
      <c r="N11" s="17"/>
      <c r="O11" s="17">
        <v>0</v>
      </c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>
        <v>0</v>
      </c>
      <c r="I12" s="17"/>
      <c r="J12" s="17">
        <v>0</v>
      </c>
      <c r="K12" s="17"/>
      <c r="L12" s="17">
        <v>0</v>
      </c>
      <c r="M12" s="17"/>
      <c r="N12" s="17">
        <v>0</v>
      </c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>
        <v>0</v>
      </c>
      <c r="J13" s="17"/>
      <c r="K13" s="17">
        <v>0</v>
      </c>
      <c r="L13" s="17"/>
      <c r="M13" s="17">
        <v>0</v>
      </c>
      <c r="N13" s="17"/>
      <c r="O13" s="17">
        <v>0</v>
      </c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>
        <v>0</v>
      </c>
      <c r="I14" s="17"/>
      <c r="J14" s="17">
        <v>0</v>
      </c>
      <c r="K14" s="17"/>
      <c r="L14" s="17">
        <v>0</v>
      </c>
      <c r="M14" s="17"/>
      <c r="N14" s="17">
        <v>0</v>
      </c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>
        <v>0</v>
      </c>
      <c r="J15" s="17"/>
      <c r="K15" s="17">
        <v>0</v>
      </c>
      <c r="L15" s="17"/>
      <c r="M15" s="17">
        <v>0</v>
      </c>
      <c r="N15" s="17"/>
      <c r="O15" s="17">
        <v>0</v>
      </c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>
        <v>0</v>
      </c>
      <c r="I16" s="17"/>
      <c r="J16" s="17">
        <v>0</v>
      </c>
      <c r="K16" s="17"/>
      <c r="L16" s="17">
        <v>0</v>
      </c>
      <c r="M16" s="17"/>
      <c r="N16" s="17">
        <v>0</v>
      </c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>
        <v>0</v>
      </c>
      <c r="J17" s="17"/>
      <c r="K17" s="17">
        <v>0</v>
      </c>
      <c r="L17" s="17"/>
      <c r="M17" s="17">
        <v>0</v>
      </c>
      <c r="N17" s="17"/>
      <c r="O17" s="17">
        <v>0</v>
      </c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>
        <v>0</v>
      </c>
      <c r="I18" s="17"/>
      <c r="J18" s="17">
        <v>0</v>
      </c>
      <c r="K18" s="17"/>
      <c r="L18" s="17">
        <v>0</v>
      </c>
      <c r="M18" s="17"/>
      <c r="N18" s="17">
        <v>0</v>
      </c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>
        <v>0</v>
      </c>
      <c r="J19" s="17"/>
      <c r="K19" s="17">
        <v>0</v>
      </c>
      <c r="L19" s="17"/>
      <c r="M19" s="17">
        <v>0</v>
      </c>
      <c r="N19" s="17"/>
      <c r="O19" s="17">
        <v>0</v>
      </c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>
        <v>0</v>
      </c>
      <c r="I20" s="17"/>
      <c r="J20" s="17">
        <v>0</v>
      </c>
      <c r="K20" s="17"/>
      <c r="L20" s="17">
        <v>0</v>
      </c>
      <c r="M20" s="17"/>
      <c r="N20" s="17">
        <v>0</v>
      </c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>
        <v>0</v>
      </c>
      <c r="J21" s="17"/>
      <c r="K21" s="17">
        <v>0</v>
      </c>
      <c r="L21" s="17"/>
      <c r="M21" s="17">
        <v>0</v>
      </c>
      <c r="N21" s="17"/>
      <c r="O21" s="17">
        <v>0</v>
      </c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>
        <v>0</v>
      </c>
      <c r="I22" s="17"/>
      <c r="J22" s="17">
        <v>0</v>
      </c>
      <c r="K22" s="17"/>
      <c r="L22" s="17">
        <v>0</v>
      </c>
      <c r="M22" s="17"/>
      <c r="N22" s="17">
        <v>0</v>
      </c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>
        <v>0</v>
      </c>
      <c r="J23" s="17"/>
      <c r="K23" s="17">
        <v>0</v>
      </c>
      <c r="L23" s="17"/>
      <c r="M23" s="17">
        <v>0</v>
      </c>
      <c r="N23" s="17"/>
      <c r="O23" s="17">
        <v>0</v>
      </c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>
        <v>0</v>
      </c>
      <c r="I24" s="17"/>
      <c r="J24" s="17">
        <v>0</v>
      </c>
      <c r="K24" s="17"/>
      <c r="L24" s="17">
        <v>0</v>
      </c>
      <c r="M24" s="17"/>
      <c r="N24" s="17">
        <v>0</v>
      </c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>
        <v>0</v>
      </c>
      <c r="J25" s="17"/>
      <c r="K25" s="17">
        <v>0</v>
      </c>
      <c r="L25" s="17"/>
      <c r="M25" s="17">
        <v>0</v>
      </c>
      <c r="N25" s="17"/>
      <c r="O25" s="17">
        <v>0</v>
      </c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>
        <v>0</v>
      </c>
      <c r="I26" s="17"/>
      <c r="J26" s="17">
        <v>0</v>
      </c>
      <c r="K26" s="17"/>
      <c r="L26" s="17">
        <v>0</v>
      </c>
      <c r="M26" s="17"/>
      <c r="N26" s="17">
        <v>0</v>
      </c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>
        <v>0</v>
      </c>
      <c r="J27" s="17"/>
      <c r="K27" s="17">
        <v>0</v>
      </c>
      <c r="L27" s="17"/>
      <c r="M27" s="17">
        <v>0</v>
      </c>
      <c r="N27" s="17"/>
      <c r="O27" s="17">
        <v>0</v>
      </c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>
        <v>0</v>
      </c>
      <c r="I28" s="17"/>
      <c r="J28" s="17">
        <v>0</v>
      </c>
      <c r="K28" s="17"/>
      <c r="L28" s="17">
        <v>0</v>
      </c>
      <c r="M28" s="17"/>
      <c r="N28" s="17">
        <v>0</v>
      </c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>
        <v>0</v>
      </c>
      <c r="J29" s="17"/>
      <c r="K29" s="17">
        <v>0</v>
      </c>
      <c r="L29" s="17"/>
      <c r="M29" s="17">
        <v>0</v>
      </c>
      <c r="N29" s="17"/>
      <c r="O29" s="17">
        <v>0</v>
      </c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>
        <v>0</v>
      </c>
      <c r="I30" s="17"/>
      <c r="J30" s="17">
        <v>0</v>
      </c>
      <c r="K30" s="17"/>
      <c r="L30" s="17">
        <v>0</v>
      </c>
      <c r="M30" s="17"/>
      <c r="N30" s="17">
        <v>0</v>
      </c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>
        <v>0</v>
      </c>
      <c r="J31" s="17"/>
      <c r="K31" s="17">
        <v>0</v>
      </c>
      <c r="L31" s="17"/>
      <c r="M31" s="17">
        <v>0</v>
      </c>
      <c r="N31" s="17"/>
      <c r="O31" s="17">
        <v>0</v>
      </c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>
        <v>0</v>
      </c>
      <c r="I32" s="17"/>
      <c r="J32" s="17">
        <v>0</v>
      </c>
      <c r="K32" s="17"/>
      <c r="L32" s="17">
        <v>0</v>
      </c>
      <c r="M32" s="17"/>
      <c r="N32" s="17">
        <v>0</v>
      </c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>
        <v>0</v>
      </c>
      <c r="J33" s="17"/>
      <c r="K33" s="20">
        <v>0</v>
      </c>
      <c r="L33" s="17"/>
      <c r="M33" s="20">
        <v>0</v>
      </c>
      <c r="N33" s="17"/>
      <c r="O33" s="20">
        <v>0</v>
      </c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>
        <v>0</v>
      </c>
      <c r="I34" s="21"/>
      <c r="J34" s="17">
        <v>0</v>
      </c>
      <c r="K34" s="21"/>
      <c r="L34" s="17">
        <v>0</v>
      </c>
      <c r="M34" s="21"/>
      <c r="N34" s="17">
        <v>0</v>
      </c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>
        <v>0</v>
      </c>
      <c r="J35" s="17"/>
      <c r="K35" s="17">
        <v>0</v>
      </c>
      <c r="L35" s="17"/>
      <c r="M35" s="22">
        <v>0</v>
      </c>
      <c r="N35" s="17"/>
      <c r="O35" s="22">
        <v>0</v>
      </c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>
        <v>0</v>
      </c>
      <c r="I36" s="17"/>
      <c r="J36" s="17">
        <v>0</v>
      </c>
      <c r="K36" s="17"/>
      <c r="L36" s="17">
        <v>0</v>
      </c>
      <c r="M36" s="22"/>
      <c r="N36" s="17">
        <v>0</v>
      </c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>
        <v>0</v>
      </c>
      <c r="J37" s="17"/>
      <c r="K37" s="17">
        <v>0</v>
      </c>
      <c r="L37" s="17"/>
      <c r="M37" s="22">
        <v>0</v>
      </c>
      <c r="N37" s="17"/>
      <c r="O37" s="22">
        <v>0</v>
      </c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>
        <v>0</v>
      </c>
      <c r="I38" s="17"/>
      <c r="J38" s="17">
        <v>0</v>
      </c>
      <c r="K38" s="17"/>
      <c r="L38" s="17">
        <v>0</v>
      </c>
      <c r="M38" s="22"/>
      <c r="N38" s="17">
        <v>0</v>
      </c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>
        <v>0</v>
      </c>
      <c r="J39" s="17"/>
      <c r="K39" s="17">
        <v>0</v>
      </c>
      <c r="L39" s="17"/>
      <c r="M39" s="22">
        <v>0</v>
      </c>
      <c r="N39" s="17"/>
      <c r="O39" s="22">
        <v>0</v>
      </c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>
        <v>0</v>
      </c>
      <c r="I40" s="17"/>
      <c r="J40" s="17">
        <v>0</v>
      </c>
      <c r="K40" s="17"/>
      <c r="L40" s="17">
        <v>0</v>
      </c>
      <c r="M40" s="22"/>
      <c r="N40" s="17">
        <v>0</v>
      </c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>
        <v>0</v>
      </c>
      <c r="J41" s="17"/>
      <c r="K41" s="17">
        <v>0</v>
      </c>
      <c r="L41" s="17"/>
      <c r="M41" s="22">
        <v>0</v>
      </c>
      <c r="N41" s="17"/>
      <c r="O41" s="22">
        <v>0</v>
      </c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>
        <v>0</v>
      </c>
      <c r="I42" s="17"/>
      <c r="J42" s="17">
        <v>0</v>
      </c>
      <c r="K42" s="17"/>
      <c r="L42" s="17">
        <v>0</v>
      </c>
      <c r="M42" s="22"/>
      <c r="N42" s="17">
        <v>0</v>
      </c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>
        <v>0</v>
      </c>
      <c r="J43" s="17"/>
      <c r="K43" s="17">
        <v>0</v>
      </c>
      <c r="L43" s="17"/>
      <c r="M43" s="22">
        <v>0</v>
      </c>
      <c r="N43" s="17"/>
      <c r="O43" s="22">
        <v>0</v>
      </c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>
        <v>0</v>
      </c>
      <c r="I44" s="17"/>
      <c r="J44" s="17">
        <v>0</v>
      </c>
      <c r="K44" s="17"/>
      <c r="L44" s="17">
        <v>0</v>
      </c>
      <c r="M44" s="22"/>
      <c r="N44" s="17">
        <v>0</v>
      </c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>
        <v>0</v>
      </c>
      <c r="J45" s="17"/>
      <c r="K45" s="17">
        <v>0</v>
      </c>
      <c r="L45" s="17"/>
      <c r="M45" s="22">
        <v>0</v>
      </c>
      <c r="N45" s="17"/>
      <c r="O45" s="22">
        <v>0</v>
      </c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>
        <v>0</v>
      </c>
      <c r="I46" s="17"/>
      <c r="J46" s="17">
        <v>0</v>
      </c>
      <c r="K46" s="17"/>
      <c r="L46" s="17">
        <v>0</v>
      </c>
      <c r="M46" s="22"/>
      <c r="N46" s="17">
        <v>0</v>
      </c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>
        <v>0</v>
      </c>
      <c r="J47" s="17"/>
      <c r="K47" s="17">
        <v>0</v>
      </c>
      <c r="L47" s="17"/>
      <c r="M47" s="22">
        <v>0</v>
      </c>
      <c r="N47" s="17"/>
      <c r="O47" s="22">
        <v>0</v>
      </c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>
        <v>0</v>
      </c>
      <c r="I48" s="17"/>
      <c r="J48" s="17">
        <v>0</v>
      </c>
      <c r="K48" s="17"/>
      <c r="L48" s="17">
        <v>0</v>
      </c>
      <c r="M48" s="22"/>
      <c r="N48" s="17">
        <v>0</v>
      </c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>
        <v>0</v>
      </c>
      <c r="J49" s="17"/>
      <c r="K49" s="17">
        <v>0</v>
      </c>
      <c r="L49" s="17"/>
      <c r="M49" s="22">
        <v>0</v>
      </c>
      <c r="N49" s="17"/>
      <c r="O49" s="22">
        <v>0</v>
      </c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>
        <v>0</v>
      </c>
      <c r="I50" s="17"/>
      <c r="J50" s="17">
        <v>0</v>
      </c>
      <c r="K50" s="17"/>
      <c r="L50" s="17">
        <v>0</v>
      </c>
      <c r="M50" s="22"/>
      <c r="N50" s="17">
        <v>0</v>
      </c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>
        <v>0</v>
      </c>
      <c r="J51" s="17"/>
      <c r="K51" s="17">
        <v>0</v>
      </c>
      <c r="L51" s="17"/>
      <c r="M51" s="22">
        <v>0</v>
      </c>
      <c r="N51" s="17"/>
      <c r="O51" s="22">
        <v>0</v>
      </c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>
        <v>0</v>
      </c>
      <c r="I52" s="17"/>
      <c r="J52" s="17">
        <v>0</v>
      </c>
      <c r="K52" s="17"/>
      <c r="L52" s="17">
        <v>0</v>
      </c>
      <c r="M52" s="22"/>
      <c r="N52" s="17">
        <v>0</v>
      </c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>
        <v>0</v>
      </c>
      <c r="J53" s="17"/>
      <c r="K53" s="17">
        <v>0</v>
      </c>
      <c r="L53" s="17"/>
      <c r="M53" s="22">
        <v>0</v>
      </c>
      <c r="N53" s="17"/>
      <c r="O53" s="22">
        <v>0</v>
      </c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>
        <v>0</v>
      </c>
      <c r="I54" s="17"/>
      <c r="J54" s="17">
        <v>0</v>
      </c>
      <c r="K54" s="17"/>
      <c r="L54" s="17">
        <v>0</v>
      </c>
      <c r="M54" s="22"/>
      <c r="N54" s="17">
        <v>0</v>
      </c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>
        <v>0</v>
      </c>
      <c r="J55" s="17"/>
      <c r="K55" s="17">
        <v>0</v>
      </c>
      <c r="L55" s="17"/>
      <c r="M55" s="22">
        <v>0</v>
      </c>
      <c r="N55" s="17"/>
      <c r="O55" s="22">
        <v>0</v>
      </c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>
        <v>0</v>
      </c>
      <c r="I56" s="17"/>
      <c r="J56" s="17">
        <v>0</v>
      </c>
      <c r="K56" s="17"/>
      <c r="L56" s="17">
        <v>0</v>
      </c>
      <c r="M56" s="22"/>
      <c r="N56" s="17">
        <v>0</v>
      </c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>
        <v>0</v>
      </c>
      <c r="J57" s="17"/>
      <c r="K57" s="17">
        <v>0</v>
      </c>
      <c r="L57" s="17"/>
      <c r="M57" s="22">
        <v>0</v>
      </c>
      <c r="N57" s="17"/>
      <c r="O57" s="22">
        <v>0</v>
      </c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>
        <v>0</v>
      </c>
      <c r="I58" s="17"/>
      <c r="J58" s="17">
        <v>0</v>
      </c>
      <c r="K58" s="17"/>
      <c r="L58" s="17">
        <v>0</v>
      </c>
      <c r="M58" s="22"/>
      <c r="N58" s="17">
        <v>0</v>
      </c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>
        <v>0</v>
      </c>
      <c r="J59" s="17"/>
      <c r="K59" s="17">
        <v>0</v>
      </c>
      <c r="L59" s="17"/>
      <c r="M59" s="22">
        <v>0</v>
      </c>
      <c r="N59" s="17"/>
      <c r="O59" s="22">
        <v>0</v>
      </c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>
        <v>0</v>
      </c>
      <c r="I60" s="17"/>
      <c r="J60" s="17">
        <v>0</v>
      </c>
      <c r="K60" s="17"/>
      <c r="L60" s="17">
        <v>0</v>
      </c>
      <c r="M60" s="22"/>
      <c r="N60" s="17">
        <v>0</v>
      </c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>
        <v>0</v>
      </c>
      <c r="J61" s="17"/>
      <c r="K61" s="17">
        <v>0</v>
      </c>
      <c r="L61" s="17"/>
      <c r="M61" s="22">
        <v>0</v>
      </c>
      <c r="N61" s="17"/>
      <c r="O61" s="22">
        <v>0</v>
      </c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>
        <v>0</v>
      </c>
      <c r="I62" s="17"/>
      <c r="J62" s="17">
        <v>0</v>
      </c>
      <c r="K62" s="17"/>
      <c r="L62" s="17">
        <v>0</v>
      </c>
      <c r="M62" s="22"/>
      <c r="N62" s="17">
        <v>0</v>
      </c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>
        <v>0</v>
      </c>
      <c r="J63" s="17"/>
      <c r="K63" s="17">
        <v>0</v>
      </c>
      <c r="L63" s="17"/>
      <c r="M63" s="22">
        <v>0</v>
      </c>
      <c r="N63" s="17"/>
      <c r="O63" s="22">
        <v>0</v>
      </c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>
        <v>0</v>
      </c>
      <c r="I64" s="17"/>
      <c r="J64" s="17">
        <v>0</v>
      </c>
      <c r="K64" s="17"/>
      <c r="L64" s="17">
        <v>0</v>
      </c>
      <c r="M64" s="22"/>
      <c r="N64" s="17">
        <v>0</v>
      </c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>
        <v>0</v>
      </c>
      <c r="J65" s="17"/>
      <c r="K65" s="17">
        <v>0</v>
      </c>
      <c r="L65" s="17"/>
      <c r="M65" s="22">
        <v>0</v>
      </c>
      <c r="N65" s="17"/>
      <c r="O65" s="22">
        <v>0</v>
      </c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>
        <v>0</v>
      </c>
      <c r="I66" s="17"/>
      <c r="J66" s="17">
        <v>0</v>
      </c>
      <c r="K66" s="17"/>
      <c r="L66" s="17">
        <v>0</v>
      </c>
      <c r="M66" s="22"/>
      <c r="N66" s="17">
        <v>0</v>
      </c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>
        <v>0</v>
      </c>
      <c r="J67" s="17"/>
      <c r="K67" s="17">
        <v>0</v>
      </c>
      <c r="L67" s="17"/>
      <c r="M67" s="22">
        <v>0</v>
      </c>
      <c r="N67" s="17"/>
      <c r="O67" s="22">
        <v>0</v>
      </c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>
        <v>0</v>
      </c>
      <c r="I68" s="17"/>
      <c r="J68" s="17">
        <v>0</v>
      </c>
      <c r="K68" s="17"/>
      <c r="L68" s="17">
        <v>0</v>
      </c>
      <c r="M68" s="22"/>
      <c r="N68" s="17">
        <v>0</v>
      </c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>
        <v>0</v>
      </c>
      <c r="J69" s="17"/>
      <c r="K69" s="17">
        <v>0</v>
      </c>
      <c r="L69" s="17"/>
      <c r="M69" s="22">
        <v>0</v>
      </c>
      <c r="N69" s="17"/>
      <c r="O69" s="22">
        <v>0</v>
      </c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>
        <v>0</v>
      </c>
      <c r="I70" s="17"/>
      <c r="J70" s="17">
        <v>0</v>
      </c>
      <c r="K70" s="17"/>
      <c r="L70" s="17">
        <v>0</v>
      </c>
      <c r="M70" s="22"/>
      <c r="N70" s="17">
        <v>0</v>
      </c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>
        <v>0</v>
      </c>
      <c r="J71" s="17"/>
      <c r="K71" s="17">
        <v>0</v>
      </c>
      <c r="L71" s="17"/>
      <c r="M71" s="22">
        <v>0</v>
      </c>
      <c r="N71" s="17"/>
      <c r="O71" s="22">
        <v>0</v>
      </c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>
        <v>0</v>
      </c>
      <c r="I72" s="17"/>
      <c r="J72" s="17">
        <v>0</v>
      </c>
      <c r="K72" s="17"/>
      <c r="L72" s="17">
        <v>0</v>
      </c>
      <c r="M72" s="22"/>
      <c r="N72" s="17">
        <v>0</v>
      </c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>
        <v>0</v>
      </c>
      <c r="J73" s="17"/>
      <c r="K73" s="17">
        <v>0</v>
      </c>
      <c r="L73" s="17"/>
      <c r="M73" s="22">
        <v>0</v>
      </c>
      <c r="N73" s="17"/>
      <c r="O73" s="22">
        <v>0</v>
      </c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>
        <v>0</v>
      </c>
      <c r="I74" s="17"/>
      <c r="J74" s="17">
        <v>0</v>
      </c>
      <c r="K74" s="17"/>
      <c r="L74" s="17">
        <v>0</v>
      </c>
      <c r="M74" s="22"/>
      <c r="N74" s="17">
        <v>0</v>
      </c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646.78</v>
      </c>
      <c r="F75" s="17"/>
      <c r="G75" s="17">
        <v>0</v>
      </c>
      <c r="H75" s="16"/>
      <c r="I75" s="17">
        <v>646.78</v>
      </c>
      <c r="J75" s="17"/>
      <c r="K75" s="17">
        <v>0</v>
      </c>
      <c r="L75" s="17"/>
      <c r="M75" s="22">
        <v>646.78</v>
      </c>
      <c r="N75" s="17"/>
      <c r="O75" s="22">
        <v>0</v>
      </c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51.74</v>
      </c>
      <c r="E76" s="17"/>
      <c r="F76" s="17">
        <v>0</v>
      </c>
      <c r="G76" s="17"/>
      <c r="H76" s="16">
        <v>51.74</v>
      </c>
      <c r="I76" s="17"/>
      <c r="J76" s="17">
        <v>0</v>
      </c>
      <c r="K76" s="17"/>
      <c r="L76" s="17">
        <v>51.74</v>
      </c>
      <c r="M76" s="22"/>
      <c r="N76" s="17">
        <v>0</v>
      </c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1356.77</v>
      </c>
      <c r="F77" s="17"/>
      <c r="G77" s="17">
        <v>0</v>
      </c>
      <c r="H77" s="16"/>
      <c r="I77" s="17">
        <v>1052.62</v>
      </c>
      <c r="J77" s="17"/>
      <c r="K77" s="17">
        <v>0</v>
      </c>
      <c r="L77" s="17"/>
      <c r="M77" s="22">
        <v>1052.62</v>
      </c>
      <c r="N77" s="17"/>
      <c r="O77" s="22">
        <v>0</v>
      </c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56.8</v>
      </c>
      <c r="E78" s="17"/>
      <c r="F78" s="17">
        <v>0</v>
      </c>
      <c r="G78" s="17"/>
      <c r="H78" s="16">
        <v>32.47</v>
      </c>
      <c r="I78" s="17"/>
      <c r="J78" s="17">
        <v>0</v>
      </c>
      <c r="K78" s="17"/>
      <c r="L78" s="17">
        <v>32.47</v>
      </c>
      <c r="M78" s="22"/>
      <c r="N78" s="17">
        <v>0</v>
      </c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1620.49</v>
      </c>
      <c r="F79" s="17"/>
      <c r="G79" s="17">
        <v>0</v>
      </c>
      <c r="H79" s="16"/>
      <c r="I79" s="17">
        <v>940.15</v>
      </c>
      <c r="J79" s="17"/>
      <c r="K79" s="17">
        <v>0</v>
      </c>
      <c r="L79" s="17"/>
      <c r="M79" s="22">
        <v>940.15</v>
      </c>
      <c r="N79" s="17"/>
      <c r="O79" s="22">
        <v>0</v>
      </c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72.84</v>
      </c>
      <c r="E80" s="17"/>
      <c r="F80" s="17">
        <v>0</v>
      </c>
      <c r="G80" s="17"/>
      <c r="H80" s="16">
        <v>42.74</v>
      </c>
      <c r="I80" s="17"/>
      <c r="J80" s="17">
        <v>0</v>
      </c>
      <c r="K80" s="17"/>
      <c r="L80" s="17">
        <v>42.74</v>
      </c>
      <c r="M80" s="22"/>
      <c r="N80" s="17">
        <v>0</v>
      </c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1791.45</v>
      </c>
      <c r="F81" s="17"/>
      <c r="G81" s="17">
        <v>0</v>
      </c>
      <c r="H81" s="16"/>
      <c r="I81" s="17">
        <v>1111.5</v>
      </c>
      <c r="J81" s="17"/>
      <c r="K81" s="17">
        <v>0</v>
      </c>
      <c r="L81" s="17"/>
      <c r="M81" s="22">
        <v>1111.5</v>
      </c>
      <c r="N81" s="17"/>
      <c r="O81" s="22">
        <v>0</v>
      </c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70.48</v>
      </c>
      <c r="E82" s="17"/>
      <c r="F82" s="17">
        <v>0</v>
      </c>
      <c r="G82" s="17"/>
      <c r="H82" s="16">
        <v>46.18</v>
      </c>
      <c r="I82" s="17"/>
      <c r="J82" s="17">
        <v>0</v>
      </c>
      <c r="K82" s="17"/>
      <c r="L82" s="17">
        <v>46.18</v>
      </c>
      <c r="M82" s="22"/>
      <c r="N82" s="17">
        <v>0</v>
      </c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1422.68</v>
      </c>
      <c r="F83" s="17"/>
      <c r="G83" s="17">
        <v>0</v>
      </c>
      <c r="H83" s="16"/>
      <c r="I83" s="17">
        <v>950.7</v>
      </c>
      <c r="J83" s="17"/>
      <c r="K83" s="17">
        <v>0</v>
      </c>
      <c r="L83" s="17"/>
      <c r="M83" s="22">
        <v>950.7</v>
      </c>
      <c r="N83" s="17"/>
      <c r="O83" s="22">
        <v>0</v>
      </c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43.34</v>
      </c>
      <c r="E84" s="17"/>
      <c r="F84" s="17">
        <v>0</v>
      </c>
      <c r="G84" s="17"/>
      <c r="H84" s="16">
        <v>29.88</v>
      </c>
      <c r="I84" s="17"/>
      <c r="J84" s="17">
        <v>0</v>
      </c>
      <c r="K84" s="17"/>
      <c r="L84" s="17">
        <v>29.88</v>
      </c>
      <c r="M84" s="22"/>
      <c r="N84" s="17">
        <v>0</v>
      </c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818.8</v>
      </c>
      <c r="F85" s="17"/>
      <c r="G85" s="17">
        <v>0</v>
      </c>
      <c r="H85" s="16"/>
      <c r="I85" s="17">
        <v>553.16</v>
      </c>
      <c r="J85" s="17"/>
      <c r="K85" s="17">
        <v>0</v>
      </c>
      <c r="L85" s="17"/>
      <c r="M85" s="22">
        <v>553.16</v>
      </c>
      <c r="N85" s="17"/>
      <c r="O85" s="22">
        <v>0</v>
      </c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22.17</v>
      </c>
      <c r="E86" s="17"/>
      <c r="F86" s="17">
        <v>0</v>
      </c>
      <c r="G86" s="17"/>
      <c r="H86" s="16">
        <v>14.37</v>
      </c>
      <c r="I86" s="17"/>
      <c r="J86" s="17">
        <v>0</v>
      </c>
      <c r="K86" s="17"/>
      <c r="L86" s="17">
        <v>14.37</v>
      </c>
      <c r="M86" s="22"/>
      <c r="N86" s="17">
        <v>0</v>
      </c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343.98</v>
      </c>
      <c r="F87" s="17"/>
      <c r="G87" s="17">
        <v>0</v>
      </c>
      <c r="H87" s="16"/>
      <c r="I87" s="17">
        <v>187.06</v>
      </c>
      <c r="J87" s="17"/>
      <c r="K87" s="17">
        <v>0</v>
      </c>
      <c r="L87" s="17"/>
      <c r="M87" s="22">
        <v>187.06</v>
      </c>
      <c r="N87" s="17"/>
      <c r="O87" s="22">
        <v>0</v>
      </c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5.35</v>
      </c>
      <c r="E88" s="17"/>
      <c r="F88" s="17">
        <v>0</v>
      </c>
      <c r="G88" s="17"/>
      <c r="H88" s="16">
        <v>0.59</v>
      </c>
      <c r="I88" s="17"/>
      <c r="J88" s="17">
        <v>0</v>
      </c>
      <c r="K88" s="17"/>
      <c r="L88" s="17">
        <v>0.59</v>
      </c>
      <c r="M88" s="22"/>
      <c r="N88" s="17">
        <v>0</v>
      </c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66.91</v>
      </c>
      <c r="F89" s="17"/>
      <c r="G89" s="17">
        <v>0</v>
      </c>
      <c r="H89" s="16"/>
      <c r="I89" s="17">
        <v>7.37</v>
      </c>
      <c r="J89" s="17"/>
      <c r="K89" s="17">
        <v>0</v>
      </c>
      <c r="L89" s="17"/>
      <c r="M89" s="22">
        <v>7.37</v>
      </c>
      <c r="N89" s="17"/>
      <c r="O89" s="22">
        <v>0</v>
      </c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>
        <v>0</v>
      </c>
      <c r="I90" s="17"/>
      <c r="J90" s="17">
        <v>0</v>
      </c>
      <c r="K90" s="17"/>
      <c r="L90" s="17">
        <v>0</v>
      </c>
      <c r="M90" s="22"/>
      <c r="N90" s="17">
        <v>0</v>
      </c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>
        <v>0</v>
      </c>
      <c r="J91" s="17"/>
      <c r="K91" s="17">
        <v>0</v>
      </c>
      <c r="L91" s="17"/>
      <c r="M91" s="22">
        <v>0</v>
      </c>
      <c r="N91" s="17"/>
      <c r="O91" s="22">
        <v>0</v>
      </c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>
        <v>0</v>
      </c>
      <c r="I92" s="17"/>
      <c r="J92" s="17">
        <v>0</v>
      </c>
      <c r="K92" s="17"/>
      <c r="L92" s="17">
        <v>0</v>
      </c>
      <c r="M92" s="22"/>
      <c r="N92" s="17">
        <v>0</v>
      </c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>
        <v>0</v>
      </c>
      <c r="J93" s="17"/>
      <c r="K93" s="17">
        <v>0</v>
      </c>
      <c r="L93" s="17"/>
      <c r="M93" s="22">
        <v>0</v>
      </c>
      <c r="N93" s="17"/>
      <c r="O93" s="22">
        <v>0</v>
      </c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>
        <v>0</v>
      </c>
      <c r="I94" s="17"/>
      <c r="J94" s="17">
        <v>0</v>
      </c>
      <c r="K94" s="17"/>
      <c r="L94" s="17">
        <v>0</v>
      </c>
      <c r="M94" s="22"/>
      <c r="N94" s="17">
        <v>0</v>
      </c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>
        <v>0</v>
      </c>
      <c r="J95" s="17"/>
      <c r="K95" s="17">
        <v>0</v>
      </c>
      <c r="L95" s="17"/>
      <c r="M95" s="22">
        <v>0</v>
      </c>
      <c r="N95" s="17"/>
      <c r="O95" s="22">
        <v>0</v>
      </c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>
        <v>0</v>
      </c>
      <c r="I96" s="17"/>
      <c r="J96" s="17">
        <v>0</v>
      </c>
      <c r="K96" s="17"/>
      <c r="L96" s="17">
        <v>0</v>
      </c>
      <c r="M96" s="22"/>
      <c r="N96" s="17">
        <v>0</v>
      </c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>
        <v>0</v>
      </c>
      <c r="J97" s="17"/>
      <c r="K97" s="17">
        <v>0</v>
      </c>
      <c r="L97" s="17"/>
      <c r="M97" s="22">
        <v>0</v>
      </c>
      <c r="N97" s="17"/>
      <c r="O97" s="22">
        <v>0</v>
      </c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>
        <v>0</v>
      </c>
      <c r="I98" s="17"/>
      <c r="J98" s="17">
        <v>0</v>
      </c>
      <c r="K98" s="17"/>
      <c r="L98" s="17">
        <v>0</v>
      </c>
      <c r="M98" s="22"/>
      <c r="N98" s="17">
        <v>0</v>
      </c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>
        <v>0</v>
      </c>
      <c r="J99" s="17"/>
      <c r="K99" s="17">
        <v>0</v>
      </c>
      <c r="L99" s="17"/>
      <c r="M99" s="22">
        <v>0</v>
      </c>
      <c r="N99" s="17"/>
      <c r="O99" s="22">
        <v>0</v>
      </c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>
        <v>0</v>
      </c>
      <c r="I100" s="17"/>
      <c r="J100" s="17">
        <v>0</v>
      </c>
      <c r="K100" s="17"/>
      <c r="L100" s="17">
        <v>0</v>
      </c>
      <c r="M100" s="22"/>
      <c r="N100" s="17">
        <v>0</v>
      </c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>
        <v>0</v>
      </c>
      <c r="J101" s="17"/>
      <c r="K101" s="17">
        <v>0</v>
      </c>
      <c r="L101" s="17"/>
      <c r="M101" s="22">
        <v>0</v>
      </c>
      <c r="N101" s="17"/>
      <c r="O101" s="22">
        <v>0</v>
      </c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>
        <v>0</v>
      </c>
      <c r="I102" s="17"/>
      <c r="J102" s="17">
        <v>0</v>
      </c>
      <c r="K102" s="17"/>
      <c r="L102" s="17">
        <v>0</v>
      </c>
      <c r="M102" s="22"/>
      <c r="N102" s="17">
        <v>0</v>
      </c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>
        <v>0</v>
      </c>
      <c r="J103" s="17"/>
      <c r="K103" s="17">
        <v>0</v>
      </c>
      <c r="L103" s="17"/>
      <c r="M103" s="22">
        <v>0</v>
      </c>
      <c r="N103" s="17"/>
      <c r="O103" s="22">
        <v>0</v>
      </c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>
        <v>0</v>
      </c>
      <c r="I104" s="17"/>
      <c r="J104" s="17">
        <v>0</v>
      </c>
      <c r="K104" s="17"/>
      <c r="L104" s="17">
        <v>0</v>
      </c>
      <c r="M104" s="22"/>
      <c r="N104" s="17">
        <v>0</v>
      </c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>
        <v>0</v>
      </c>
      <c r="J105" s="17"/>
      <c r="K105" s="17">
        <v>0</v>
      </c>
      <c r="L105" s="17"/>
      <c r="M105" s="22">
        <v>0</v>
      </c>
      <c r="N105" s="17"/>
      <c r="O105" s="22">
        <v>0</v>
      </c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>
        <v>0</v>
      </c>
      <c r="I106" s="17"/>
      <c r="J106" s="17">
        <v>0</v>
      </c>
      <c r="K106" s="17"/>
      <c r="L106" s="17">
        <v>0</v>
      </c>
      <c r="M106" s="22"/>
      <c r="N106" s="17">
        <v>0</v>
      </c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>
        <v>0</v>
      </c>
      <c r="J107" s="17"/>
      <c r="K107" s="17">
        <v>0</v>
      </c>
      <c r="L107" s="17"/>
      <c r="M107" s="22">
        <v>0</v>
      </c>
      <c r="N107" s="17"/>
      <c r="O107" s="22">
        <v>0</v>
      </c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>
        <v>0</v>
      </c>
      <c r="I108" s="17"/>
      <c r="J108" s="17">
        <v>0</v>
      </c>
      <c r="K108" s="17"/>
      <c r="L108" s="17">
        <v>0</v>
      </c>
      <c r="M108" s="22"/>
      <c r="N108" s="17">
        <v>0</v>
      </c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>
        <v>0</v>
      </c>
      <c r="J109" s="17"/>
      <c r="K109" s="17">
        <v>0</v>
      </c>
      <c r="L109" s="17"/>
      <c r="M109" s="22">
        <v>0</v>
      </c>
      <c r="N109" s="17"/>
      <c r="O109" s="22">
        <v>0</v>
      </c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>
        <v>0</v>
      </c>
      <c r="I110" s="17"/>
      <c r="J110" s="17">
        <v>0</v>
      </c>
      <c r="K110" s="17"/>
      <c r="L110" s="17">
        <v>0</v>
      </c>
      <c r="M110" s="22"/>
      <c r="N110" s="17">
        <v>0</v>
      </c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>
        <v>0</v>
      </c>
      <c r="J111" s="17"/>
      <c r="K111" s="17">
        <v>0</v>
      </c>
      <c r="L111" s="17"/>
      <c r="M111" s="22">
        <v>0</v>
      </c>
      <c r="N111" s="17"/>
      <c r="O111" s="22">
        <v>0</v>
      </c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>
        <v>0</v>
      </c>
      <c r="I112" s="17"/>
      <c r="J112" s="17">
        <v>0</v>
      </c>
      <c r="K112" s="17"/>
      <c r="L112" s="17">
        <v>0</v>
      </c>
      <c r="M112" s="22"/>
      <c r="N112" s="17">
        <v>0</v>
      </c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>
        <v>0</v>
      </c>
      <c r="J113" s="17"/>
      <c r="K113" s="17">
        <v>0</v>
      </c>
      <c r="L113" s="17"/>
      <c r="M113" s="22">
        <v>0</v>
      </c>
      <c r="N113" s="17"/>
      <c r="O113" s="22">
        <v>0</v>
      </c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>
        <v>0</v>
      </c>
      <c r="I114" s="17"/>
      <c r="J114" s="17">
        <v>0</v>
      </c>
      <c r="K114" s="17"/>
      <c r="L114" s="17">
        <v>0</v>
      </c>
      <c r="M114" s="22"/>
      <c r="N114" s="17">
        <v>0</v>
      </c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>
        <v>0</v>
      </c>
      <c r="J115" s="17"/>
      <c r="K115" s="17">
        <v>0</v>
      </c>
      <c r="L115" s="17"/>
      <c r="M115" s="22">
        <v>0</v>
      </c>
      <c r="N115" s="17"/>
      <c r="O115" s="22">
        <v>0</v>
      </c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>
        <v>0</v>
      </c>
      <c r="I116" s="17"/>
      <c r="J116" s="17">
        <v>0</v>
      </c>
      <c r="K116" s="17"/>
      <c r="L116" s="17">
        <v>0</v>
      </c>
      <c r="M116" s="22"/>
      <c r="N116" s="17">
        <v>0</v>
      </c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>
        <v>0</v>
      </c>
      <c r="J117" s="17"/>
      <c r="K117" s="17">
        <v>0</v>
      </c>
      <c r="L117" s="17"/>
      <c r="M117" s="22">
        <v>0</v>
      </c>
      <c r="N117" s="17"/>
      <c r="O117" s="22">
        <v>0</v>
      </c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>
        <v>0</v>
      </c>
      <c r="I118" s="17"/>
      <c r="J118" s="17">
        <v>0</v>
      </c>
      <c r="K118" s="17"/>
      <c r="L118" s="17">
        <v>0</v>
      </c>
      <c r="M118" s="22"/>
      <c r="N118" s="17">
        <v>0</v>
      </c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>
        <v>0</v>
      </c>
      <c r="J119" s="17"/>
      <c r="K119" s="17">
        <v>0</v>
      </c>
      <c r="L119" s="17"/>
      <c r="M119" s="22">
        <v>0</v>
      </c>
      <c r="N119" s="17"/>
      <c r="O119" s="22">
        <v>0</v>
      </c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>
        <v>0</v>
      </c>
      <c r="I120" s="17"/>
      <c r="J120" s="17">
        <v>0</v>
      </c>
      <c r="K120" s="17"/>
      <c r="L120" s="17">
        <v>0</v>
      </c>
      <c r="M120" s="22"/>
      <c r="N120" s="17">
        <v>0</v>
      </c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>
        <v>0</v>
      </c>
      <c r="J121" s="17"/>
      <c r="K121" s="17">
        <v>0</v>
      </c>
      <c r="L121" s="17"/>
      <c r="M121" s="22">
        <v>0</v>
      </c>
      <c r="N121" s="17"/>
      <c r="O121" s="22">
        <v>0</v>
      </c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>
        <v>0</v>
      </c>
      <c r="I122" s="17"/>
      <c r="J122" s="17">
        <v>0</v>
      </c>
      <c r="K122" s="17"/>
      <c r="L122" s="17">
        <v>0</v>
      </c>
      <c r="M122" s="22"/>
      <c r="N122" s="17">
        <v>0</v>
      </c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>
        <v>0</v>
      </c>
      <c r="J123" s="17"/>
      <c r="K123" s="17">
        <v>0</v>
      </c>
      <c r="L123" s="17"/>
      <c r="M123" s="22">
        <v>0</v>
      </c>
      <c r="N123" s="17"/>
      <c r="O123" s="22">
        <v>0</v>
      </c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>
        <v>0</v>
      </c>
      <c r="I124" s="17"/>
      <c r="J124" s="17">
        <v>0</v>
      </c>
      <c r="K124" s="17"/>
      <c r="L124" s="17">
        <v>0</v>
      </c>
      <c r="M124" s="22"/>
      <c r="N124" s="17">
        <v>0</v>
      </c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>
        <v>0</v>
      </c>
      <c r="J125" s="17"/>
      <c r="K125" s="17">
        <v>0</v>
      </c>
      <c r="L125" s="17"/>
      <c r="M125" s="22">
        <v>0</v>
      </c>
      <c r="N125" s="17"/>
      <c r="O125" s="22">
        <v>0</v>
      </c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>
        <v>0</v>
      </c>
      <c r="I126" s="17"/>
      <c r="J126" s="17">
        <v>0</v>
      </c>
      <c r="K126" s="17"/>
      <c r="L126" s="17">
        <v>0</v>
      </c>
      <c r="M126" s="22"/>
      <c r="N126" s="17">
        <v>0</v>
      </c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>
        <v>0</v>
      </c>
      <c r="J127" s="17"/>
      <c r="K127" s="17">
        <v>0</v>
      </c>
      <c r="L127" s="17"/>
      <c r="M127" s="22">
        <v>0</v>
      </c>
      <c r="N127" s="17"/>
      <c r="O127" s="22">
        <v>0</v>
      </c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>
        <v>0</v>
      </c>
      <c r="I128" s="17"/>
      <c r="J128" s="17">
        <v>0</v>
      </c>
      <c r="K128" s="17"/>
      <c r="L128" s="17">
        <v>0</v>
      </c>
      <c r="M128" s="22"/>
      <c r="N128" s="17">
        <v>0</v>
      </c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>
        <v>0</v>
      </c>
      <c r="J129" s="17"/>
      <c r="K129" s="17">
        <v>0</v>
      </c>
      <c r="L129" s="17"/>
      <c r="M129" s="22">
        <v>0</v>
      </c>
      <c r="N129" s="17"/>
      <c r="O129" s="22">
        <v>0</v>
      </c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>
        <v>0</v>
      </c>
      <c r="I130" s="17"/>
      <c r="J130" s="17">
        <v>0</v>
      </c>
      <c r="K130" s="17"/>
      <c r="L130" s="17">
        <v>0</v>
      </c>
      <c r="M130" s="22"/>
      <c r="N130" s="17">
        <v>0</v>
      </c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>
        <v>0</v>
      </c>
      <c r="J131" s="17"/>
      <c r="K131" s="17">
        <v>0</v>
      </c>
      <c r="L131" s="17"/>
      <c r="M131" s="22">
        <v>0</v>
      </c>
      <c r="N131" s="17"/>
      <c r="O131" s="22">
        <v>0</v>
      </c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>
        <v>0</v>
      </c>
      <c r="I132" s="17"/>
      <c r="J132" s="17">
        <v>0</v>
      </c>
      <c r="K132" s="17"/>
      <c r="L132" s="17">
        <v>0</v>
      </c>
      <c r="M132" s="22"/>
      <c r="N132" s="17">
        <v>0</v>
      </c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>
        <v>0</v>
      </c>
      <c r="J133" s="17"/>
      <c r="K133" s="17">
        <v>0</v>
      </c>
      <c r="L133" s="17"/>
      <c r="M133" s="22">
        <v>0</v>
      </c>
      <c r="N133" s="17"/>
      <c r="O133" s="22">
        <v>0</v>
      </c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>
        <v>0</v>
      </c>
      <c r="I134" s="17"/>
      <c r="J134" s="17">
        <v>0</v>
      </c>
      <c r="K134" s="17"/>
      <c r="L134" s="17">
        <v>0</v>
      </c>
      <c r="M134" s="22"/>
      <c r="N134" s="17">
        <v>0</v>
      </c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>
        <v>0</v>
      </c>
      <c r="J135" s="17"/>
      <c r="K135" s="17">
        <v>0</v>
      </c>
      <c r="L135" s="17"/>
      <c r="M135" s="22">
        <v>0</v>
      </c>
      <c r="N135" s="17"/>
      <c r="O135" s="22">
        <v>0</v>
      </c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>
        <v>0</v>
      </c>
      <c r="I136" s="17"/>
      <c r="J136" s="17">
        <v>0</v>
      </c>
      <c r="K136" s="17"/>
      <c r="L136" s="17">
        <v>0</v>
      </c>
      <c r="M136" s="22"/>
      <c r="N136" s="17">
        <v>0</v>
      </c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>
        <v>0</v>
      </c>
      <c r="J137" s="17"/>
      <c r="K137" s="17">
        <v>0</v>
      </c>
      <c r="L137" s="17"/>
      <c r="M137" s="22">
        <v>0</v>
      </c>
      <c r="N137" s="17"/>
      <c r="O137" s="22">
        <v>0</v>
      </c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>
        <v>0</v>
      </c>
      <c r="I138" s="17"/>
      <c r="J138" s="17">
        <v>0</v>
      </c>
      <c r="K138" s="17"/>
      <c r="L138" s="17">
        <v>0</v>
      </c>
      <c r="M138" s="22"/>
      <c r="N138" s="17">
        <v>0</v>
      </c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>
        <v>0</v>
      </c>
      <c r="J139" s="17"/>
      <c r="K139" s="17">
        <v>0</v>
      </c>
      <c r="L139" s="17"/>
      <c r="M139" s="22">
        <v>0</v>
      </c>
      <c r="N139" s="17"/>
      <c r="O139" s="22">
        <v>0</v>
      </c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>
        <v>0</v>
      </c>
      <c r="I140" s="17"/>
      <c r="J140" s="17">
        <v>0</v>
      </c>
      <c r="K140" s="17"/>
      <c r="L140" s="17">
        <v>0</v>
      </c>
      <c r="M140" s="22"/>
      <c r="N140" s="17">
        <v>0</v>
      </c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0</v>
      </c>
      <c r="F141" s="17"/>
      <c r="G141" s="17">
        <v>0</v>
      </c>
      <c r="H141" s="16"/>
      <c r="I141" s="17">
        <v>0</v>
      </c>
      <c r="J141" s="17"/>
      <c r="K141" s="17">
        <v>0</v>
      </c>
      <c r="L141" s="17"/>
      <c r="M141" s="22">
        <v>0</v>
      </c>
      <c r="N141" s="17"/>
      <c r="O141" s="22">
        <v>0</v>
      </c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0</v>
      </c>
      <c r="E142" s="17"/>
      <c r="F142" s="17">
        <v>0</v>
      </c>
      <c r="G142" s="17"/>
      <c r="H142" s="16">
        <v>0</v>
      </c>
      <c r="I142" s="17"/>
      <c r="J142" s="17">
        <v>0</v>
      </c>
      <c r="K142" s="17"/>
      <c r="L142" s="17">
        <v>0</v>
      </c>
      <c r="M142" s="22"/>
      <c r="N142" s="17">
        <v>0</v>
      </c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0</v>
      </c>
      <c r="F143" s="17"/>
      <c r="G143" s="17">
        <v>0</v>
      </c>
      <c r="H143" s="16"/>
      <c r="I143" s="17">
        <v>0</v>
      </c>
      <c r="J143" s="17"/>
      <c r="K143" s="17">
        <v>0</v>
      </c>
      <c r="L143" s="17"/>
      <c r="M143" s="22">
        <v>0</v>
      </c>
      <c r="N143" s="17"/>
      <c r="O143" s="22">
        <v>0</v>
      </c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0</v>
      </c>
      <c r="E144" s="17"/>
      <c r="F144" s="17">
        <v>0</v>
      </c>
      <c r="G144" s="17"/>
      <c r="H144" s="16">
        <v>0</v>
      </c>
      <c r="I144" s="17"/>
      <c r="J144" s="17">
        <v>0</v>
      </c>
      <c r="K144" s="17"/>
      <c r="L144" s="17">
        <v>0</v>
      </c>
      <c r="M144" s="22"/>
      <c r="N144" s="17">
        <v>0</v>
      </c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0</v>
      </c>
      <c r="F145" s="17"/>
      <c r="G145" s="17">
        <v>0</v>
      </c>
      <c r="H145" s="16"/>
      <c r="I145" s="17">
        <v>0</v>
      </c>
      <c r="J145" s="17"/>
      <c r="K145" s="17">
        <v>0</v>
      </c>
      <c r="L145" s="17"/>
      <c r="M145" s="22">
        <v>0</v>
      </c>
      <c r="N145" s="17"/>
      <c r="O145" s="22">
        <v>0</v>
      </c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>
        <v>0</v>
      </c>
      <c r="I146" s="17"/>
      <c r="J146" s="17">
        <v>0</v>
      </c>
      <c r="K146" s="17"/>
      <c r="L146" s="17">
        <v>0</v>
      </c>
      <c r="M146" s="22"/>
      <c r="N146" s="17">
        <v>0</v>
      </c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0</v>
      </c>
      <c r="F147" s="17"/>
      <c r="G147" s="17">
        <v>0</v>
      </c>
      <c r="H147" s="16"/>
      <c r="I147" s="17">
        <v>0</v>
      </c>
      <c r="J147" s="17"/>
      <c r="K147" s="17">
        <v>0</v>
      </c>
      <c r="L147" s="17"/>
      <c r="M147" s="22">
        <v>0</v>
      </c>
      <c r="N147" s="17"/>
      <c r="O147" s="22">
        <v>0</v>
      </c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0</v>
      </c>
      <c r="E148" s="17"/>
      <c r="F148" s="17">
        <v>0</v>
      </c>
      <c r="G148" s="17"/>
      <c r="H148" s="16">
        <v>0</v>
      </c>
      <c r="I148" s="17"/>
      <c r="J148" s="17">
        <v>0</v>
      </c>
      <c r="K148" s="17"/>
      <c r="L148" s="17">
        <v>0</v>
      </c>
      <c r="M148" s="22"/>
      <c r="N148" s="17">
        <v>0</v>
      </c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76.62</v>
      </c>
      <c r="F149" s="17"/>
      <c r="G149" s="17">
        <v>29.81</v>
      </c>
      <c r="H149" s="16"/>
      <c r="I149" s="17">
        <v>76.62</v>
      </c>
      <c r="J149" s="17"/>
      <c r="K149" s="17">
        <v>29.81</v>
      </c>
      <c r="L149" s="17"/>
      <c r="M149" s="22">
        <v>76.62</v>
      </c>
      <c r="N149" s="17"/>
      <c r="O149" s="22">
        <v>29.81</v>
      </c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6.13</v>
      </c>
      <c r="E150" s="17"/>
      <c r="F150" s="17">
        <v>2.38</v>
      </c>
      <c r="G150" s="17"/>
      <c r="H150" s="16">
        <v>6.13</v>
      </c>
      <c r="I150" s="17"/>
      <c r="J150" s="17">
        <v>2.38</v>
      </c>
      <c r="K150" s="17"/>
      <c r="L150" s="17">
        <v>6.13</v>
      </c>
      <c r="M150" s="22"/>
      <c r="N150" s="17">
        <v>2.38</v>
      </c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98.47</v>
      </c>
      <c r="F151" s="17"/>
      <c r="G151" s="17">
        <v>48.24</v>
      </c>
      <c r="H151" s="16"/>
      <c r="I151" s="17">
        <v>98.47</v>
      </c>
      <c r="J151" s="17"/>
      <c r="K151" s="17">
        <v>48.24</v>
      </c>
      <c r="L151" s="17"/>
      <c r="M151" s="22">
        <v>98.47</v>
      </c>
      <c r="N151" s="17"/>
      <c r="O151" s="22">
        <v>48.24</v>
      </c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1.75</v>
      </c>
      <c r="E152" s="17"/>
      <c r="F152" s="17">
        <v>1.47</v>
      </c>
      <c r="G152" s="17"/>
      <c r="H152" s="16">
        <v>1.75</v>
      </c>
      <c r="I152" s="17"/>
      <c r="J152" s="17">
        <v>1.47</v>
      </c>
      <c r="K152" s="17"/>
      <c r="L152" s="17">
        <v>1.75</v>
      </c>
      <c r="M152" s="22"/>
      <c r="N152" s="17">
        <v>1.47</v>
      </c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21.86</v>
      </c>
      <c r="F153" s="17"/>
      <c r="G153" s="17">
        <v>18.43</v>
      </c>
      <c r="H153" s="16"/>
      <c r="I153" s="17">
        <v>21.86</v>
      </c>
      <c r="J153" s="17"/>
      <c r="K153" s="17">
        <v>18.43</v>
      </c>
      <c r="L153" s="17"/>
      <c r="M153" s="22">
        <v>21.86</v>
      </c>
      <c r="N153" s="17"/>
      <c r="O153" s="22">
        <v>18.43</v>
      </c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0</v>
      </c>
      <c r="E154" s="17"/>
      <c r="F154" s="17">
        <v>0</v>
      </c>
      <c r="G154" s="17"/>
      <c r="H154" s="16">
        <v>0</v>
      </c>
      <c r="I154" s="17"/>
      <c r="J154" s="17">
        <v>0</v>
      </c>
      <c r="K154" s="17"/>
      <c r="L154" s="17">
        <v>0</v>
      </c>
      <c r="M154" s="22"/>
      <c r="N154" s="17">
        <v>0</v>
      </c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0</v>
      </c>
      <c r="F155" s="17"/>
      <c r="G155" s="17">
        <v>0</v>
      </c>
      <c r="H155" s="16"/>
      <c r="I155" s="17">
        <v>0</v>
      </c>
      <c r="J155" s="17"/>
      <c r="K155" s="17">
        <v>0</v>
      </c>
      <c r="L155" s="17"/>
      <c r="M155" s="22">
        <v>0</v>
      </c>
      <c r="N155" s="17"/>
      <c r="O155" s="22">
        <v>0</v>
      </c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0</v>
      </c>
      <c r="E156" s="17"/>
      <c r="F156" s="17">
        <v>0</v>
      </c>
      <c r="G156" s="17"/>
      <c r="H156" s="16">
        <v>0</v>
      </c>
      <c r="I156" s="17"/>
      <c r="J156" s="17">
        <v>0</v>
      </c>
      <c r="K156" s="17"/>
      <c r="L156" s="17">
        <v>0</v>
      </c>
      <c r="M156" s="22"/>
      <c r="N156" s="17">
        <v>0</v>
      </c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0</v>
      </c>
      <c r="F157" s="17"/>
      <c r="G157" s="17">
        <v>0</v>
      </c>
      <c r="H157" s="16"/>
      <c r="I157" s="17">
        <v>0</v>
      </c>
      <c r="J157" s="17"/>
      <c r="K157" s="17">
        <v>0</v>
      </c>
      <c r="L157" s="17"/>
      <c r="M157" s="22">
        <v>0</v>
      </c>
      <c r="N157" s="17"/>
      <c r="O157" s="22">
        <v>0</v>
      </c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0</v>
      </c>
      <c r="E158" s="17"/>
      <c r="F158" s="17">
        <v>0</v>
      </c>
      <c r="G158" s="17"/>
      <c r="H158" s="16">
        <v>0</v>
      </c>
      <c r="I158" s="17"/>
      <c r="J158" s="17">
        <v>0</v>
      </c>
      <c r="K158" s="17"/>
      <c r="L158" s="17">
        <v>0</v>
      </c>
      <c r="M158" s="22"/>
      <c r="N158" s="17">
        <v>0</v>
      </c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0</v>
      </c>
      <c r="F159" s="17"/>
      <c r="G159" s="17">
        <v>0</v>
      </c>
      <c r="H159" s="16"/>
      <c r="I159" s="17">
        <v>0</v>
      </c>
      <c r="J159" s="17"/>
      <c r="K159" s="17">
        <v>0</v>
      </c>
      <c r="L159" s="17"/>
      <c r="M159" s="22">
        <v>0</v>
      </c>
      <c r="N159" s="17"/>
      <c r="O159" s="22">
        <v>0</v>
      </c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0</v>
      </c>
      <c r="E160" s="17"/>
      <c r="F160" s="17">
        <v>0</v>
      </c>
      <c r="G160" s="17"/>
      <c r="H160" s="16">
        <v>0</v>
      </c>
      <c r="I160" s="17"/>
      <c r="J160" s="17">
        <v>0</v>
      </c>
      <c r="K160" s="17"/>
      <c r="L160" s="17">
        <v>0</v>
      </c>
      <c r="M160" s="22"/>
      <c r="N160" s="17">
        <v>0</v>
      </c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0</v>
      </c>
      <c r="F161" s="17"/>
      <c r="G161" s="17">
        <v>0</v>
      </c>
      <c r="H161" s="16"/>
      <c r="I161" s="17">
        <v>0</v>
      </c>
      <c r="J161" s="17"/>
      <c r="K161" s="17">
        <v>0</v>
      </c>
      <c r="L161" s="17"/>
      <c r="M161" s="22">
        <v>0</v>
      </c>
      <c r="N161" s="17"/>
      <c r="O161" s="22">
        <v>0</v>
      </c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>
        <v>0</v>
      </c>
      <c r="I162" s="17"/>
      <c r="J162" s="17">
        <v>0</v>
      </c>
      <c r="K162" s="17"/>
      <c r="L162" s="17">
        <v>0</v>
      </c>
      <c r="M162" s="22"/>
      <c r="N162" s="17">
        <v>0</v>
      </c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>
        <v>0</v>
      </c>
      <c r="J163" s="17"/>
      <c r="K163" s="17">
        <v>0</v>
      </c>
      <c r="L163" s="17"/>
      <c r="M163" s="22">
        <v>0</v>
      </c>
      <c r="N163" s="17"/>
      <c r="O163" s="22">
        <v>0</v>
      </c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>
        <v>0</v>
      </c>
      <c r="I164" s="17"/>
      <c r="J164" s="17">
        <v>0</v>
      </c>
      <c r="K164" s="17"/>
      <c r="L164" s="17">
        <v>0</v>
      </c>
      <c r="M164" s="22"/>
      <c r="N164" s="17">
        <v>0</v>
      </c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>
        <v>0</v>
      </c>
      <c r="J165" s="17"/>
      <c r="K165" s="17">
        <v>0</v>
      </c>
      <c r="L165" s="17"/>
      <c r="M165" s="22">
        <v>0</v>
      </c>
      <c r="N165" s="17"/>
      <c r="O165" s="22">
        <v>0</v>
      </c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>
        <v>0</v>
      </c>
      <c r="I166" s="17"/>
      <c r="J166" s="17">
        <v>0</v>
      </c>
      <c r="K166" s="17"/>
      <c r="L166" s="17">
        <v>0</v>
      </c>
      <c r="M166" s="22"/>
      <c r="N166" s="17">
        <v>0</v>
      </c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>
        <v>0</v>
      </c>
      <c r="J167" s="17"/>
      <c r="K167" s="17">
        <v>0</v>
      </c>
      <c r="L167" s="17"/>
      <c r="M167" s="22">
        <v>0</v>
      </c>
      <c r="N167" s="17"/>
      <c r="O167" s="22">
        <v>0</v>
      </c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>
        <v>0</v>
      </c>
      <c r="I168" s="17"/>
      <c r="J168" s="17">
        <v>0</v>
      </c>
      <c r="K168" s="17"/>
      <c r="L168" s="17">
        <v>0</v>
      </c>
      <c r="M168" s="22"/>
      <c r="N168" s="17">
        <v>0</v>
      </c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>
        <v>0</v>
      </c>
      <c r="J169" s="17"/>
      <c r="K169" s="17">
        <v>0</v>
      </c>
      <c r="L169" s="17"/>
      <c r="M169" s="22">
        <v>0</v>
      </c>
      <c r="N169" s="17"/>
      <c r="O169" s="22">
        <v>0</v>
      </c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>
        <v>0</v>
      </c>
      <c r="I170" s="17"/>
      <c r="J170" s="17">
        <v>0</v>
      </c>
      <c r="K170" s="17"/>
      <c r="L170" s="17">
        <v>0</v>
      </c>
      <c r="M170" s="22"/>
      <c r="N170" s="17">
        <v>0</v>
      </c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>
        <v>0</v>
      </c>
      <c r="J171" s="17"/>
      <c r="K171" s="17">
        <v>0</v>
      </c>
      <c r="L171" s="17"/>
      <c r="M171" s="22">
        <v>0</v>
      </c>
      <c r="N171" s="17"/>
      <c r="O171" s="22">
        <v>0</v>
      </c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>
        <v>0</v>
      </c>
      <c r="I172" s="17"/>
      <c r="J172" s="17">
        <v>0</v>
      </c>
      <c r="K172" s="17"/>
      <c r="L172" s="17">
        <v>0</v>
      </c>
      <c r="M172" s="22"/>
      <c r="N172" s="17">
        <v>0</v>
      </c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>
        <v>0</v>
      </c>
      <c r="J173" s="17"/>
      <c r="K173" s="17">
        <v>0</v>
      </c>
      <c r="L173" s="17"/>
      <c r="M173" s="22">
        <v>0</v>
      </c>
      <c r="N173" s="17"/>
      <c r="O173" s="22">
        <v>0</v>
      </c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>
        <v>0</v>
      </c>
      <c r="I174" s="17"/>
      <c r="J174" s="17">
        <v>0</v>
      </c>
      <c r="K174" s="17"/>
      <c r="L174" s="17">
        <v>0</v>
      </c>
      <c r="M174" s="22"/>
      <c r="N174" s="17">
        <v>0</v>
      </c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>
        <v>0</v>
      </c>
      <c r="J175" s="17"/>
      <c r="K175" s="17">
        <v>0</v>
      </c>
      <c r="L175" s="17"/>
      <c r="M175" s="22">
        <v>0</v>
      </c>
      <c r="N175" s="17"/>
      <c r="O175" s="22">
        <v>0</v>
      </c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>
        <v>0</v>
      </c>
      <c r="I176" s="17"/>
      <c r="J176" s="17">
        <v>0</v>
      </c>
      <c r="K176" s="17"/>
      <c r="L176" s="17">
        <v>0</v>
      </c>
      <c r="M176" s="22"/>
      <c r="N176" s="17">
        <v>0</v>
      </c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>
        <v>0</v>
      </c>
      <c r="J177" s="17"/>
      <c r="K177" s="17">
        <v>0</v>
      </c>
      <c r="L177" s="17"/>
      <c r="M177" s="22">
        <v>0</v>
      </c>
      <c r="N177" s="17"/>
      <c r="O177" s="22">
        <v>0</v>
      </c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>
        <v>0</v>
      </c>
      <c r="I178" s="17"/>
      <c r="J178" s="17">
        <v>0</v>
      </c>
      <c r="K178" s="17"/>
      <c r="L178" s="17">
        <v>0</v>
      </c>
      <c r="M178" s="22"/>
      <c r="N178" s="17">
        <v>0</v>
      </c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>
        <v>0</v>
      </c>
      <c r="J179" s="17"/>
      <c r="K179" s="17">
        <v>0</v>
      </c>
      <c r="L179" s="17"/>
      <c r="M179" s="22">
        <v>0</v>
      </c>
      <c r="N179" s="17"/>
      <c r="O179" s="22">
        <v>0</v>
      </c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>
        <v>0</v>
      </c>
      <c r="I180" s="17"/>
      <c r="J180" s="17">
        <v>0</v>
      </c>
      <c r="K180" s="17"/>
      <c r="L180" s="17">
        <v>0</v>
      </c>
      <c r="M180" s="22"/>
      <c r="N180" s="17">
        <v>0</v>
      </c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>
        <v>0</v>
      </c>
      <c r="J181" s="17"/>
      <c r="K181" s="17">
        <v>0</v>
      </c>
      <c r="L181" s="17"/>
      <c r="M181" s="22">
        <v>0</v>
      </c>
      <c r="N181" s="17"/>
      <c r="O181" s="22">
        <v>0</v>
      </c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>
        <v>0</v>
      </c>
      <c r="I182" s="17"/>
      <c r="J182" s="17">
        <v>0</v>
      </c>
      <c r="K182" s="17"/>
      <c r="L182" s="17">
        <v>0</v>
      </c>
      <c r="M182" s="22"/>
      <c r="N182" s="17">
        <v>0</v>
      </c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>
        <v>0</v>
      </c>
      <c r="J183" s="17"/>
      <c r="K183" s="17">
        <v>0</v>
      </c>
      <c r="L183" s="17"/>
      <c r="M183" s="22">
        <v>0</v>
      </c>
      <c r="N183" s="17"/>
      <c r="O183" s="22">
        <v>0</v>
      </c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>
        <v>0</v>
      </c>
      <c r="I184" s="17"/>
      <c r="J184" s="17">
        <v>0</v>
      </c>
      <c r="K184" s="17"/>
      <c r="L184" s="17">
        <v>0</v>
      </c>
      <c r="M184" s="22"/>
      <c r="N184" s="17">
        <v>0</v>
      </c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>
        <v>0</v>
      </c>
      <c r="J185" s="17"/>
      <c r="K185" s="17">
        <v>0</v>
      </c>
      <c r="L185" s="17"/>
      <c r="M185" s="22">
        <v>0</v>
      </c>
      <c r="N185" s="17"/>
      <c r="O185" s="22">
        <v>0</v>
      </c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>
        <v>0</v>
      </c>
      <c r="I186" s="17"/>
      <c r="J186" s="17">
        <v>0</v>
      </c>
      <c r="K186" s="17"/>
      <c r="L186" s="17">
        <v>0</v>
      </c>
      <c r="M186" s="22"/>
      <c r="N186" s="17">
        <v>0</v>
      </c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>
        <v>0</v>
      </c>
      <c r="J187" s="17"/>
      <c r="K187" s="17">
        <v>0</v>
      </c>
      <c r="L187" s="17"/>
      <c r="M187" s="22">
        <v>0</v>
      </c>
      <c r="N187" s="17"/>
      <c r="O187" s="22">
        <v>0</v>
      </c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>
        <v>0</v>
      </c>
      <c r="I188" s="17"/>
      <c r="J188" s="17">
        <v>0</v>
      </c>
      <c r="K188" s="17"/>
      <c r="L188" s="17">
        <v>0</v>
      </c>
      <c r="M188" s="22"/>
      <c r="N188" s="17">
        <v>0</v>
      </c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>
        <v>0</v>
      </c>
      <c r="J189" s="17"/>
      <c r="K189" s="17">
        <v>0</v>
      </c>
      <c r="L189" s="17"/>
      <c r="M189" s="22">
        <v>0</v>
      </c>
      <c r="N189" s="17"/>
      <c r="O189" s="22">
        <v>0</v>
      </c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>
        <v>0</v>
      </c>
      <c r="I190" s="17"/>
      <c r="J190" s="17">
        <v>0</v>
      </c>
      <c r="K190" s="17"/>
      <c r="L190" s="17">
        <v>0</v>
      </c>
      <c r="M190" s="22"/>
      <c r="N190" s="17">
        <v>0</v>
      </c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>
        <v>0</v>
      </c>
      <c r="J191" s="17"/>
      <c r="K191" s="17">
        <v>0</v>
      </c>
      <c r="L191" s="17"/>
      <c r="M191" s="22">
        <v>0</v>
      </c>
      <c r="N191" s="17"/>
      <c r="O191" s="22">
        <v>0</v>
      </c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>
        <v>0</v>
      </c>
      <c r="I192" s="17"/>
      <c r="J192" s="17">
        <v>0</v>
      </c>
      <c r="K192" s="17"/>
      <c r="L192" s="17">
        <v>0</v>
      </c>
      <c r="M192" s="22"/>
      <c r="N192" s="17">
        <v>0</v>
      </c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>
        <v>0</v>
      </c>
      <c r="J193" s="17"/>
      <c r="K193" s="17">
        <v>0</v>
      </c>
      <c r="L193" s="17"/>
      <c r="M193" s="22">
        <v>0</v>
      </c>
      <c r="N193" s="17"/>
      <c r="O193" s="22">
        <v>0</v>
      </c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>
        <v>0</v>
      </c>
      <c r="I194" s="17"/>
      <c r="J194" s="17">
        <v>0</v>
      </c>
      <c r="K194" s="17"/>
      <c r="L194" s="17">
        <v>0</v>
      </c>
      <c r="M194" s="22"/>
      <c r="N194" s="17">
        <v>0</v>
      </c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>
        <v>0</v>
      </c>
      <c r="J195" s="17"/>
      <c r="K195" s="17">
        <v>0</v>
      </c>
      <c r="L195" s="17"/>
      <c r="M195" s="22">
        <v>0</v>
      </c>
      <c r="N195" s="17"/>
      <c r="O195" s="22">
        <v>0</v>
      </c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>
        <v>0</v>
      </c>
      <c r="I196" s="17"/>
      <c r="J196" s="17">
        <v>0</v>
      </c>
      <c r="K196" s="17"/>
      <c r="L196" s="17">
        <v>0</v>
      </c>
      <c r="M196" s="22"/>
      <c r="N196" s="17">
        <v>0</v>
      </c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357.41</v>
      </c>
      <c r="F197" s="17"/>
      <c r="G197" s="17">
        <v>0</v>
      </c>
      <c r="H197" s="16"/>
      <c r="I197" s="17">
        <v>101.25</v>
      </c>
      <c r="J197" s="17"/>
      <c r="K197" s="17">
        <v>0</v>
      </c>
      <c r="L197" s="17"/>
      <c r="M197" s="22">
        <v>101.25</v>
      </c>
      <c r="N197" s="17"/>
      <c r="O197" s="22">
        <v>0</v>
      </c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28.59</v>
      </c>
      <c r="E198" s="17"/>
      <c r="F198" s="17">
        <v>0</v>
      </c>
      <c r="G198" s="17"/>
      <c r="H198" s="16">
        <v>8.1</v>
      </c>
      <c r="I198" s="17"/>
      <c r="J198" s="17">
        <v>0</v>
      </c>
      <c r="K198" s="17"/>
      <c r="L198" s="17">
        <v>8.1</v>
      </c>
      <c r="M198" s="22"/>
      <c r="N198" s="17">
        <v>0</v>
      </c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958.23</v>
      </c>
      <c r="F199" s="17"/>
      <c r="G199" s="17">
        <v>0</v>
      </c>
      <c r="H199" s="16"/>
      <c r="I199" s="17">
        <v>447.25</v>
      </c>
      <c r="J199" s="17"/>
      <c r="K199" s="17">
        <v>0</v>
      </c>
      <c r="L199" s="17"/>
      <c r="M199" s="22">
        <v>447.25</v>
      </c>
      <c r="N199" s="17"/>
      <c r="O199" s="22">
        <v>0</v>
      </c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48.07</v>
      </c>
      <c r="E200" s="17"/>
      <c r="F200" s="17">
        <v>0</v>
      </c>
      <c r="G200" s="17"/>
      <c r="H200" s="16">
        <v>27.68</v>
      </c>
      <c r="I200" s="17"/>
      <c r="J200" s="17">
        <v>0</v>
      </c>
      <c r="K200" s="17"/>
      <c r="L200" s="17">
        <v>27.68</v>
      </c>
      <c r="M200" s="22"/>
      <c r="N200" s="17">
        <v>0</v>
      </c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2340.5</v>
      </c>
      <c r="F201" s="17"/>
      <c r="G201" s="17">
        <v>0</v>
      </c>
      <c r="H201" s="16"/>
      <c r="I201" s="17">
        <v>1645.88</v>
      </c>
      <c r="J201" s="17"/>
      <c r="K201" s="17">
        <v>0</v>
      </c>
      <c r="L201" s="17"/>
      <c r="M201" s="22">
        <v>1645.88</v>
      </c>
      <c r="N201" s="17"/>
      <c r="O201" s="22">
        <v>0</v>
      </c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139.17</v>
      </c>
      <c r="E202" s="17"/>
      <c r="F202" s="17">
        <v>0</v>
      </c>
      <c r="G202" s="17"/>
      <c r="H202" s="16">
        <v>103.99</v>
      </c>
      <c r="I202" s="17"/>
      <c r="J202" s="17">
        <v>0</v>
      </c>
      <c r="K202" s="17"/>
      <c r="L202" s="17">
        <v>103.99</v>
      </c>
      <c r="M202" s="22"/>
      <c r="N202" s="17">
        <v>0</v>
      </c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3293.08</v>
      </c>
      <c r="F203" s="17"/>
      <c r="G203" s="17">
        <v>0</v>
      </c>
      <c r="H203" s="16"/>
      <c r="I203" s="17">
        <v>2488.63</v>
      </c>
      <c r="J203" s="17"/>
      <c r="K203" s="17">
        <v>0</v>
      </c>
      <c r="L203" s="17"/>
      <c r="M203" s="22">
        <v>2488.63</v>
      </c>
      <c r="N203" s="17"/>
      <c r="O203" s="22">
        <v>0</v>
      </c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124.27</v>
      </c>
      <c r="E204" s="17"/>
      <c r="F204" s="17">
        <v>0</v>
      </c>
      <c r="G204" s="17"/>
      <c r="H204" s="16">
        <v>95.1</v>
      </c>
      <c r="I204" s="17"/>
      <c r="J204" s="17">
        <v>0</v>
      </c>
      <c r="K204" s="17"/>
      <c r="L204" s="17">
        <v>95.1</v>
      </c>
      <c r="M204" s="22"/>
      <c r="N204" s="17">
        <v>0</v>
      </c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3688.85</v>
      </c>
      <c r="F205" s="17"/>
      <c r="G205" s="17">
        <v>0</v>
      </c>
      <c r="H205" s="16"/>
      <c r="I205" s="17">
        <v>2934.13</v>
      </c>
      <c r="J205" s="17"/>
      <c r="K205" s="17">
        <v>0</v>
      </c>
      <c r="L205" s="17"/>
      <c r="M205" s="22">
        <v>2934.13</v>
      </c>
      <c r="N205" s="17"/>
      <c r="O205" s="22">
        <v>0</v>
      </c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170.84</v>
      </c>
      <c r="E206" s="17"/>
      <c r="F206" s="17">
        <v>0</v>
      </c>
      <c r="G206" s="17"/>
      <c r="H206" s="16">
        <v>139.63</v>
      </c>
      <c r="I206" s="17"/>
      <c r="J206" s="17">
        <v>0</v>
      </c>
      <c r="K206" s="17"/>
      <c r="L206" s="17">
        <v>139.63</v>
      </c>
      <c r="M206" s="22"/>
      <c r="N206" s="17">
        <v>0</v>
      </c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4033.32</v>
      </c>
      <c r="F207" s="17"/>
      <c r="G207" s="17">
        <v>0</v>
      </c>
      <c r="H207" s="16"/>
      <c r="I207" s="17">
        <v>3243.63</v>
      </c>
      <c r="J207" s="17"/>
      <c r="K207" s="17">
        <v>0</v>
      </c>
      <c r="L207" s="17"/>
      <c r="M207" s="22">
        <v>3243.63</v>
      </c>
      <c r="N207" s="17"/>
      <c r="O207" s="22">
        <v>0</v>
      </c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151.83</v>
      </c>
      <c r="E208" s="17"/>
      <c r="F208" s="17">
        <v>0</v>
      </c>
      <c r="G208" s="17"/>
      <c r="H208" s="16">
        <v>119.86</v>
      </c>
      <c r="I208" s="17"/>
      <c r="J208" s="17">
        <v>0</v>
      </c>
      <c r="K208" s="17"/>
      <c r="L208" s="17">
        <v>119.86</v>
      </c>
      <c r="M208" s="22"/>
      <c r="N208" s="17">
        <v>0</v>
      </c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4095.51</v>
      </c>
      <c r="F209" s="17"/>
      <c r="G209" s="17">
        <v>0</v>
      </c>
      <c r="H209" s="16"/>
      <c r="I209" s="17">
        <v>3296.25</v>
      </c>
      <c r="J209" s="17"/>
      <c r="K209" s="17">
        <v>0</v>
      </c>
      <c r="L209" s="17"/>
      <c r="M209" s="22">
        <v>3296.25</v>
      </c>
      <c r="N209" s="17"/>
      <c r="O209" s="22">
        <v>0</v>
      </c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175.81</v>
      </c>
      <c r="E210" s="17"/>
      <c r="F210" s="17">
        <v>0</v>
      </c>
      <c r="G210" s="17"/>
      <c r="H210" s="16">
        <v>143.84</v>
      </c>
      <c r="I210" s="17"/>
      <c r="J210" s="17">
        <v>0</v>
      </c>
      <c r="K210" s="17"/>
      <c r="L210" s="17">
        <v>143.84</v>
      </c>
      <c r="M210" s="22"/>
      <c r="N210" s="17">
        <v>0</v>
      </c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4049.14</v>
      </c>
      <c r="F211" s="17"/>
      <c r="G211" s="17">
        <v>0</v>
      </c>
      <c r="H211" s="16"/>
      <c r="I211" s="17">
        <v>3356.53</v>
      </c>
      <c r="J211" s="17"/>
      <c r="K211" s="17">
        <v>0</v>
      </c>
      <c r="L211" s="17"/>
      <c r="M211" s="22">
        <v>3356.53</v>
      </c>
      <c r="N211" s="17"/>
      <c r="O211" s="22">
        <v>0</v>
      </c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148.12</v>
      </c>
      <c r="E212" s="17"/>
      <c r="F212" s="17">
        <v>0</v>
      </c>
      <c r="G212" s="17"/>
      <c r="H212" s="16">
        <v>124.68</v>
      </c>
      <c r="I212" s="17"/>
      <c r="J212" s="17">
        <v>0</v>
      </c>
      <c r="K212" s="17"/>
      <c r="L212" s="17">
        <v>124.68</v>
      </c>
      <c r="M212" s="22"/>
      <c r="N212" s="17">
        <v>0</v>
      </c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4233.36</v>
      </c>
      <c r="F213" s="17"/>
      <c r="G213" s="17">
        <v>0</v>
      </c>
      <c r="H213" s="16"/>
      <c r="I213" s="17">
        <v>3570.89</v>
      </c>
      <c r="J213" s="17"/>
      <c r="K213" s="17">
        <v>0</v>
      </c>
      <c r="L213" s="17"/>
      <c r="M213" s="22">
        <v>3570.89</v>
      </c>
      <c r="N213" s="17"/>
      <c r="O213" s="22">
        <v>0</v>
      </c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190.55</v>
      </c>
      <c r="E214" s="17"/>
      <c r="F214" s="17">
        <v>0</v>
      </c>
      <c r="G214" s="17"/>
      <c r="H214" s="16">
        <v>160.99</v>
      </c>
      <c r="I214" s="17"/>
      <c r="J214" s="17">
        <v>0</v>
      </c>
      <c r="K214" s="17"/>
      <c r="L214" s="17">
        <v>160.99</v>
      </c>
      <c r="M214" s="22"/>
      <c r="N214" s="17">
        <v>0</v>
      </c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3037.61</v>
      </c>
      <c r="F215" s="17"/>
      <c r="G215" s="17">
        <v>0</v>
      </c>
      <c r="H215" s="16"/>
      <c r="I215" s="17">
        <v>2475.78</v>
      </c>
      <c r="J215" s="17"/>
      <c r="K215" s="17">
        <v>0</v>
      </c>
      <c r="L215" s="17"/>
      <c r="M215" s="22">
        <v>2475.78</v>
      </c>
      <c r="N215" s="17"/>
      <c r="O215" s="22">
        <v>0</v>
      </c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52.46</v>
      </c>
      <c r="E216" s="17"/>
      <c r="F216" s="17">
        <v>0</v>
      </c>
      <c r="G216" s="17"/>
      <c r="H216" s="16">
        <v>37.07</v>
      </c>
      <c r="I216" s="17"/>
      <c r="J216" s="17">
        <v>0</v>
      </c>
      <c r="K216" s="17"/>
      <c r="L216" s="17">
        <v>37.07</v>
      </c>
      <c r="M216" s="22"/>
      <c r="N216" s="17">
        <v>0</v>
      </c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655.74</v>
      </c>
      <c r="F217" s="17"/>
      <c r="G217" s="17">
        <v>0</v>
      </c>
      <c r="H217" s="16"/>
      <c r="I217" s="17">
        <v>463.42</v>
      </c>
      <c r="J217" s="17"/>
      <c r="K217" s="17">
        <v>0</v>
      </c>
      <c r="L217" s="17"/>
      <c r="M217" s="22">
        <v>463.42</v>
      </c>
      <c r="N217" s="17"/>
      <c r="O217" s="22">
        <v>0</v>
      </c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>
        <v>0</v>
      </c>
      <c r="I218" s="17"/>
      <c r="J218" s="17">
        <v>0</v>
      </c>
      <c r="K218" s="17"/>
      <c r="L218" s="17">
        <v>0</v>
      </c>
      <c r="M218" s="22"/>
      <c r="N218" s="17">
        <v>0</v>
      </c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0</v>
      </c>
      <c r="F219" s="17"/>
      <c r="G219" s="17">
        <v>0</v>
      </c>
      <c r="H219" s="16"/>
      <c r="I219" s="17">
        <v>0</v>
      </c>
      <c r="J219" s="17"/>
      <c r="K219" s="17">
        <v>0</v>
      </c>
      <c r="L219" s="17"/>
      <c r="M219" s="22">
        <v>0</v>
      </c>
      <c r="N219" s="17"/>
      <c r="O219" s="22">
        <v>0</v>
      </c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0</v>
      </c>
      <c r="E220" s="17"/>
      <c r="F220" s="17">
        <v>0</v>
      </c>
      <c r="G220" s="17"/>
      <c r="H220" s="16">
        <v>0</v>
      </c>
      <c r="I220" s="17"/>
      <c r="J220" s="17">
        <v>0</v>
      </c>
      <c r="K220" s="17"/>
      <c r="L220" s="17">
        <v>0</v>
      </c>
      <c r="M220" s="22"/>
      <c r="N220" s="17">
        <v>0</v>
      </c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0</v>
      </c>
      <c r="F221" s="17"/>
      <c r="G221" s="17">
        <v>0</v>
      </c>
      <c r="H221" s="16"/>
      <c r="I221" s="17">
        <v>0</v>
      </c>
      <c r="J221" s="17"/>
      <c r="K221" s="17">
        <v>0</v>
      </c>
      <c r="L221" s="17"/>
      <c r="M221" s="22">
        <v>0</v>
      </c>
      <c r="N221" s="17"/>
      <c r="O221" s="22">
        <v>0</v>
      </c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0</v>
      </c>
      <c r="E222" s="17"/>
      <c r="F222" s="17">
        <v>0</v>
      </c>
      <c r="G222" s="17"/>
      <c r="H222" s="16">
        <v>0</v>
      </c>
      <c r="I222" s="17"/>
      <c r="J222" s="17">
        <v>0</v>
      </c>
      <c r="K222" s="17"/>
      <c r="L222" s="17">
        <v>0</v>
      </c>
      <c r="M222" s="22"/>
      <c r="N222" s="17">
        <v>0</v>
      </c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0</v>
      </c>
      <c r="F223" s="17"/>
      <c r="G223" s="17">
        <v>0</v>
      </c>
      <c r="H223" s="16"/>
      <c r="I223" s="17">
        <v>0</v>
      </c>
      <c r="J223" s="17"/>
      <c r="K223" s="17">
        <v>0</v>
      </c>
      <c r="L223" s="17"/>
      <c r="M223" s="22">
        <v>0</v>
      </c>
      <c r="N223" s="17"/>
      <c r="O223" s="22">
        <v>0</v>
      </c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0</v>
      </c>
      <c r="E224" s="17"/>
      <c r="F224" s="17">
        <v>0</v>
      </c>
      <c r="G224" s="17"/>
      <c r="H224" s="16">
        <v>0</v>
      </c>
      <c r="I224" s="17"/>
      <c r="J224" s="17">
        <v>0</v>
      </c>
      <c r="K224" s="17"/>
      <c r="L224" s="17">
        <v>0</v>
      </c>
      <c r="M224" s="22"/>
      <c r="N224" s="17">
        <v>0</v>
      </c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0</v>
      </c>
      <c r="F225" s="17"/>
      <c r="G225" s="17">
        <v>0</v>
      </c>
      <c r="H225" s="16"/>
      <c r="I225" s="17">
        <v>0</v>
      </c>
      <c r="J225" s="17"/>
      <c r="K225" s="17">
        <v>0</v>
      </c>
      <c r="L225" s="17"/>
      <c r="M225" s="22">
        <v>0</v>
      </c>
      <c r="N225" s="17"/>
      <c r="O225" s="22">
        <v>0</v>
      </c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>
        <v>0</v>
      </c>
      <c r="I226" s="17"/>
      <c r="J226" s="17">
        <v>0</v>
      </c>
      <c r="K226" s="17"/>
      <c r="L226" s="17">
        <v>0</v>
      </c>
      <c r="M226" s="22"/>
      <c r="N226" s="17">
        <v>0</v>
      </c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>
        <v>0</v>
      </c>
      <c r="J227" s="17"/>
      <c r="K227" s="17">
        <v>0</v>
      </c>
      <c r="L227" s="17"/>
      <c r="M227" s="22">
        <v>0</v>
      </c>
      <c r="N227" s="17"/>
      <c r="O227" s="22">
        <v>0</v>
      </c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>
        <v>0</v>
      </c>
      <c r="I228" s="17"/>
      <c r="J228" s="17">
        <v>0</v>
      </c>
      <c r="K228" s="17"/>
      <c r="L228" s="17">
        <v>0</v>
      </c>
      <c r="M228" s="22"/>
      <c r="N228" s="17">
        <v>0</v>
      </c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>
        <v>0</v>
      </c>
      <c r="J229" s="17"/>
      <c r="K229" s="17">
        <v>0</v>
      </c>
      <c r="L229" s="17"/>
      <c r="M229" s="22">
        <v>0</v>
      </c>
      <c r="N229" s="17"/>
      <c r="O229" s="22">
        <v>0</v>
      </c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>
        <v>0</v>
      </c>
      <c r="I230" s="17"/>
      <c r="J230" s="17">
        <v>0</v>
      </c>
      <c r="K230" s="17"/>
      <c r="L230" s="17">
        <v>0</v>
      </c>
      <c r="M230" s="22"/>
      <c r="N230" s="17">
        <v>0</v>
      </c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>
        <v>0</v>
      </c>
      <c r="J231" s="17"/>
      <c r="K231" s="17">
        <v>0</v>
      </c>
      <c r="L231" s="17"/>
      <c r="M231" s="22">
        <v>0</v>
      </c>
      <c r="N231" s="17"/>
      <c r="O231" s="22">
        <v>0</v>
      </c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>
        <v>0</v>
      </c>
      <c r="I232" s="17"/>
      <c r="J232" s="17">
        <v>0</v>
      </c>
      <c r="K232" s="17"/>
      <c r="L232" s="17">
        <v>0</v>
      </c>
      <c r="M232" s="22"/>
      <c r="N232" s="17">
        <v>0</v>
      </c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>
        <v>0</v>
      </c>
      <c r="J233" s="17"/>
      <c r="K233" s="17">
        <v>0</v>
      </c>
      <c r="L233" s="17"/>
      <c r="M233" s="22">
        <v>0</v>
      </c>
      <c r="N233" s="17"/>
      <c r="O233" s="22">
        <v>0</v>
      </c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>
        <v>0</v>
      </c>
      <c r="I234" s="17"/>
      <c r="J234" s="17">
        <v>0</v>
      </c>
      <c r="K234" s="17"/>
      <c r="L234" s="17">
        <v>0</v>
      </c>
      <c r="M234" s="22"/>
      <c r="N234" s="17">
        <v>0</v>
      </c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>
        <v>0</v>
      </c>
      <c r="J235" s="17"/>
      <c r="K235" s="17">
        <v>0</v>
      </c>
      <c r="L235" s="17"/>
      <c r="M235" s="22">
        <v>0</v>
      </c>
      <c r="N235" s="17"/>
      <c r="O235" s="22">
        <v>0</v>
      </c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>
        <v>0</v>
      </c>
      <c r="I236" s="17"/>
      <c r="J236" s="17">
        <v>0</v>
      </c>
      <c r="K236" s="17"/>
      <c r="L236" s="17">
        <v>0</v>
      </c>
      <c r="M236" s="22"/>
      <c r="N236" s="17">
        <v>0</v>
      </c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>
        <v>0</v>
      </c>
      <c r="J237" s="17"/>
      <c r="K237" s="17">
        <v>0</v>
      </c>
      <c r="L237" s="17"/>
      <c r="M237" s="22">
        <v>0</v>
      </c>
      <c r="N237" s="17"/>
      <c r="O237" s="22">
        <v>0</v>
      </c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>
        <v>0</v>
      </c>
      <c r="I238" s="17"/>
      <c r="J238" s="17">
        <v>0</v>
      </c>
      <c r="K238" s="17"/>
      <c r="L238" s="17">
        <v>0</v>
      </c>
      <c r="M238" s="22"/>
      <c r="N238" s="17">
        <v>0</v>
      </c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>
        <v>0</v>
      </c>
      <c r="J239" s="17"/>
      <c r="K239" s="17">
        <v>0</v>
      </c>
      <c r="L239" s="17"/>
      <c r="M239" s="22">
        <v>0</v>
      </c>
      <c r="N239" s="17"/>
      <c r="O239" s="22">
        <v>0</v>
      </c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>
        <v>0</v>
      </c>
      <c r="I240" s="17"/>
      <c r="J240" s="17">
        <v>0</v>
      </c>
      <c r="K240" s="17"/>
      <c r="L240" s="17">
        <v>0</v>
      </c>
      <c r="M240" s="22"/>
      <c r="N240" s="17">
        <v>0</v>
      </c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>
        <v>0</v>
      </c>
      <c r="J241" s="17"/>
      <c r="K241" s="17">
        <v>0</v>
      </c>
      <c r="L241" s="17"/>
      <c r="M241" s="22">
        <v>0</v>
      </c>
      <c r="N241" s="17"/>
      <c r="O241" s="22">
        <v>0</v>
      </c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>
        <v>0</v>
      </c>
      <c r="I242" s="17"/>
      <c r="J242" s="17">
        <v>0</v>
      </c>
      <c r="K242" s="17"/>
      <c r="L242" s="17">
        <v>0</v>
      </c>
      <c r="M242" s="22"/>
      <c r="N242" s="17">
        <v>0</v>
      </c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>
        <v>0</v>
      </c>
      <c r="J243" s="17"/>
      <c r="K243" s="17">
        <v>0</v>
      </c>
      <c r="L243" s="17"/>
      <c r="M243" s="22">
        <v>0</v>
      </c>
      <c r="N243" s="17"/>
      <c r="O243" s="22">
        <v>0</v>
      </c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>
        <v>0</v>
      </c>
      <c r="I244" s="17"/>
      <c r="J244" s="17">
        <v>0</v>
      </c>
      <c r="K244" s="17"/>
      <c r="L244" s="17">
        <v>0</v>
      </c>
      <c r="M244" s="22"/>
      <c r="N244" s="17">
        <v>0</v>
      </c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>
        <v>0</v>
      </c>
      <c r="J245" s="17"/>
      <c r="K245" s="17">
        <v>0</v>
      </c>
      <c r="L245" s="17"/>
      <c r="M245" s="22">
        <v>0</v>
      </c>
      <c r="N245" s="17"/>
      <c r="O245" s="22">
        <v>0</v>
      </c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>
        <v>0</v>
      </c>
      <c r="I246" s="17"/>
      <c r="J246" s="17">
        <v>0</v>
      </c>
      <c r="K246" s="17"/>
      <c r="L246" s="17">
        <v>0</v>
      </c>
      <c r="M246" s="22"/>
      <c r="N246" s="17">
        <v>0</v>
      </c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>
        <v>0</v>
      </c>
      <c r="J247" s="17"/>
      <c r="K247" s="17">
        <v>0</v>
      </c>
      <c r="L247" s="17"/>
      <c r="M247" s="22">
        <v>0</v>
      </c>
      <c r="N247" s="17"/>
      <c r="O247" s="22">
        <v>0</v>
      </c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>
        <v>0</v>
      </c>
      <c r="I248" s="17"/>
      <c r="J248" s="17">
        <v>0</v>
      </c>
      <c r="K248" s="17"/>
      <c r="L248" s="17">
        <v>0</v>
      </c>
      <c r="M248" s="22"/>
      <c r="N248" s="17">
        <v>0</v>
      </c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0</v>
      </c>
      <c r="F249" s="17"/>
      <c r="G249" s="17">
        <v>0</v>
      </c>
      <c r="H249" s="16"/>
      <c r="I249" s="17">
        <v>0</v>
      </c>
      <c r="J249" s="17"/>
      <c r="K249" s="17">
        <v>0</v>
      </c>
      <c r="L249" s="17"/>
      <c r="M249" s="22">
        <v>0</v>
      </c>
      <c r="N249" s="17"/>
      <c r="O249" s="22">
        <v>0</v>
      </c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0</v>
      </c>
      <c r="E250" s="17"/>
      <c r="F250" s="17">
        <v>0</v>
      </c>
      <c r="G250" s="17"/>
      <c r="H250" s="16">
        <v>0</v>
      </c>
      <c r="I250" s="17"/>
      <c r="J250" s="17">
        <v>0</v>
      </c>
      <c r="K250" s="17"/>
      <c r="L250" s="17">
        <v>0</v>
      </c>
      <c r="M250" s="22"/>
      <c r="N250" s="17">
        <v>0</v>
      </c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0</v>
      </c>
      <c r="F251" s="17"/>
      <c r="G251" s="17">
        <v>0</v>
      </c>
      <c r="H251" s="16"/>
      <c r="I251" s="17">
        <v>0</v>
      </c>
      <c r="J251" s="17"/>
      <c r="K251" s="17">
        <v>0</v>
      </c>
      <c r="L251" s="17"/>
      <c r="M251" s="22">
        <v>0</v>
      </c>
      <c r="N251" s="17"/>
      <c r="O251" s="22">
        <v>0</v>
      </c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0</v>
      </c>
      <c r="E252" s="17"/>
      <c r="F252" s="17">
        <v>0</v>
      </c>
      <c r="G252" s="17"/>
      <c r="H252" s="16">
        <v>0</v>
      </c>
      <c r="I252" s="17"/>
      <c r="J252" s="17">
        <v>0</v>
      </c>
      <c r="K252" s="17"/>
      <c r="L252" s="17">
        <v>0</v>
      </c>
      <c r="M252" s="22"/>
      <c r="N252" s="17">
        <v>0</v>
      </c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0</v>
      </c>
      <c r="F253" s="17"/>
      <c r="G253" s="17">
        <v>0</v>
      </c>
      <c r="H253" s="16"/>
      <c r="I253" s="17">
        <v>0</v>
      </c>
      <c r="J253" s="17"/>
      <c r="K253" s="17">
        <v>0</v>
      </c>
      <c r="L253" s="17"/>
      <c r="M253" s="22">
        <v>0</v>
      </c>
      <c r="N253" s="17"/>
      <c r="O253" s="22">
        <v>0</v>
      </c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0</v>
      </c>
      <c r="E254" s="17"/>
      <c r="F254" s="17">
        <v>0</v>
      </c>
      <c r="G254" s="17"/>
      <c r="H254" s="16">
        <v>0</v>
      </c>
      <c r="I254" s="17"/>
      <c r="J254" s="17">
        <v>0</v>
      </c>
      <c r="K254" s="17"/>
      <c r="L254" s="17">
        <v>0</v>
      </c>
      <c r="M254" s="22"/>
      <c r="N254" s="17">
        <v>0</v>
      </c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0</v>
      </c>
      <c r="F255" s="17"/>
      <c r="G255" s="17">
        <v>0</v>
      </c>
      <c r="H255" s="16"/>
      <c r="I255" s="17">
        <v>0</v>
      </c>
      <c r="J255" s="17"/>
      <c r="K255" s="17">
        <v>0</v>
      </c>
      <c r="L255" s="17"/>
      <c r="M255" s="22">
        <v>0</v>
      </c>
      <c r="N255" s="17"/>
      <c r="O255" s="22">
        <v>0</v>
      </c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0</v>
      </c>
      <c r="E256" s="17"/>
      <c r="F256" s="17">
        <v>0</v>
      </c>
      <c r="G256" s="17"/>
      <c r="H256" s="16">
        <v>0</v>
      </c>
      <c r="I256" s="17"/>
      <c r="J256" s="17">
        <v>0</v>
      </c>
      <c r="K256" s="17"/>
      <c r="L256" s="17">
        <v>0</v>
      </c>
      <c r="M256" s="22"/>
      <c r="N256" s="17">
        <v>0</v>
      </c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0</v>
      </c>
      <c r="F257" s="17"/>
      <c r="G257" s="17">
        <v>0</v>
      </c>
      <c r="H257" s="16"/>
      <c r="I257" s="17">
        <v>0</v>
      </c>
      <c r="J257" s="17"/>
      <c r="K257" s="17">
        <v>0</v>
      </c>
      <c r="L257" s="17"/>
      <c r="M257" s="22">
        <v>0</v>
      </c>
      <c r="N257" s="17"/>
      <c r="O257" s="22">
        <v>0</v>
      </c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0</v>
      </c>
      <c r="E258" s="17"/>
      <c r="F258" s="17">
        <v>0</v>
      </c>
      <c r="G258" s="17"/>
      <c r="H258" s="16">
        <v>0</v>
      </c>
      <c r="I258" s="17"/>
      <c r="J258" s="17">
        <v>0</v>
      </c>
      <c r="K258" s="17"/>
      <c r="L258" s="17">
        <v>0</v>
      </c>
      <c r="M258" s="22"/>
      <c r="N258" s="17">
        <v>0</v>
      </c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0</v>
      </c>
      <c r="F259" s="17"/>
      <c r="G259" s="17">
        <v>0</v>
      </c>
      <c r="H259" s="16"/>
      <c r="I259" s="17">
        <v>0</v>
      </c>
      <c r="J259" s="17"/>
      <c r="K259" s="17">
        <v>0</v>
      </c>
      <c r="L259" s="17"/>
      <c r="M259" s="22">
        <v>0</v>
      </c>
      <c r="N259" s="17"/>
      <c r="O259" s="22">
        <v>0</v>
      </c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0</v>
      </c>
      <c r="E260" s="17"/>
      <c r="F260" s="17">
        <v>0</v>
      </c>
      <c r="G260" s="17"/>
      <c r="H260" s="16">
        <v>0</v>
      </c>
      <c r="I260" s="17"/>
      <c r="J260" s="17">
        <v>0</v>
      </c>
      <c r="K260" s="17"/>
      <c r="L260" s="17">
        <v>0</v>
      </c>
      <c r="M260" s="22"/>
      <c r="N260" s="17">
        <v>0</v>
      </c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0</v>
      </c>
      <c r="F261" s="17"/>
      <c r="G261" s="17">
        <v>0</v>
      </c>
      <c r="H261" s="16"/>
      <c r="I261" s="17">
        <v>0</v>
      </c>
      <c r="J261" s="17"/>
      <c r="K261" s="17">
        <v>0</v>
      </c>
      <c r="L261" s="17"/>
      <c r="M261" s="22">
        <v>0</v>
      </c>
      <c r="N261" s="17"/>
      <c r="O261" s="22">
        <v>0</v>
      </c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0</v>
      </c>
      <c r="E262" s="17"/>
      <c r="F262" s="17">
        <v>0</v>
      </c>
      <c r="G262" s="17"/>
      <c r="H262" s="16">
        <v>0</v>
      </c>
      <c r="I262" s="17"/>
      <c r="J262" s="17">
        <v>0</v>
      </c>
      <c r="K262" s="17"/>
      <c r="L262" s="17">
        <v>0</v>
      </c>
      <c r="M262" s="22"/>
      <c r="N262" s="17">
        <v>0</v>
      </c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0</v>
      </c>
      <c r="F263" s="17"/>
      <c r="G263" s="17">
        <v>0</v>
      </c>
      <c r="H263" s="16"/>
      <c r="I263" s="17">
        <v>0</v>
      </c>
      <c r="J263" s="17"/>
      <c r="K263" s="17">
        <v>0</v>
      </c>
      <c r="L263" s="17"/>
      <c r="M263" s="22">
        <v>0</v>
      </c>
      <c r="N263" s="17"/>
      <c r="O263" s="22">
        <v>0</v>
      </c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0</v>
      </c>
      <c r="E264" s="17"/>
      <c r="F264" s="17">
        <v>0</v>
      </c>
      <c r="G264" s="17"/>
      <c r="H264" s="16">
        <v>0</v>
      </c>
      <c r="I264" s="17"/>
      <c r="J264" s="17">
        <v>0</v>
      </c>
      <c r="K264" s="17"/>
      <c r="L264" s="17">
        <v>0</v>
      </c>
      <c r="M264" s="22"/>
      <c r="N264" s="17">
        <v>0</v>
      </c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0</v>
      </c>
      <c r="F265" s="17"/>
      <c r="G265" s="17">
        <v>0</v>
      </c>
      <c r="H265" s="16"/>
      <c r="I265" s="17">
        <v>0</v>
      </c>
      <c r="J265" s="17"/>
      <c r="K265" s="17">
        <v>0</v>
      </c>
      <c r="L265" s="17"/>
      <c r="M265" s="22">
        <v>0</v>
      </c>
      <c r="N265" s="17"/>
      <c r="O265" s="22">
        <v>0</v>
      </c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0</v>
      </c>
      <c r="E266" s="17"/>
      <c r="F266" s="17">
        <v>0</v>
      </c>
      <c r="G266" s="17"/>
      <c r="H266" s="16">
        <v>0</v>
      </c>
      <c r="I266" s="17"/>
      <c r="J266" s="17">
        <v>0</v>
      </c>
      <c r="K266" s="17"/>
      <c r="L266" s="17">
        <v>0</v>
      </c>
      <c r="M266" s="22"/>
      <c r="N266" s="17">
        <v>0</v>
      </c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0</v>
      </c>
      <c r="F267" s="17"/>
      <c r="G267" s="17">
        <v>0</v>
      </c>
      <c r="H267" s="16"/>
      <c r="I267" s="17">
        <v>0</v>
      </c>
      <c r="J267" s="17"/>
      <c r="K267" s="17">
        <v>0</v>
      </c>
      <c r="L267" s="17"/>
      <c r="M267" s="22">
        <v>0</v>
      </c>
      <c r="N267" s="17"/>
      <c r="O267" s="22">
        <v>0</v>
      </c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0</v>
      </c>
      <c r="E268" s="17"/>
      <c r="F268" s="17">
        <v>0</v>
      </c>
      <c r="G268" s="17"/>
      <c r="H268" s="16">
        <v>0</v>
      </c>
      <c r="I268" s="17"/>
      <c r="J268" s="17">
        <v>0</v>
      </c>
      <c r="K268" s="17"/>
      <c r="L268" s="17">
        <v>0</v>
      </c>
      <c r="M268" s="22"/>
      <c r="N268" s="17">
        <v>0</v>
      </c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0</v>
      </c>
      <c r="F269" s="17"/>
      <c r="G269" s="17">
        <v>0</v>
      </c>
      <c r="H269" s="16"/>
      <c r="I269" s="17">
        <v>0</v>
      </c>
      <c r="J269" s="17"/>
      <c r="K269" s="17">
        <v>0</v>
      </c>
      <c r="L269" s="17"/>
      <c r="M269" s="22">
        <v>0</v>
      </c>
      <c r="N269" s="17"/>
      <c r="O269" s="22">
        <v>0</v>
      </c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0</v>
      </c>
      <c r="E270" s="17"/>
      <c r="F270" s="17">
        <v>0</v>
      </c>
      <c r="G270" s="17"/>
      <c r="H270" s="16">
        <v>0</v>
      </c>
      <c r="I270" s="17"/>
      <c r="J270" s="17">
        <v>0</v>
      </c>
      <c r="K270" s="17"/>
      <c r="L270" s="17">
        <v>0</v>
      </c>
      <c r="M270" s="22"/>
      <c r="N270" s="17">
        <v>0</v>
      </c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0</v>
      </c>
      <c r="F271" s="17"/>
      <c r="G271" s="17">
        <v>0</v>
      </c>
      <c r="H271" s="16"/>
      <c r="I271" s="17">
        <v>0</v>
      </c>
      <c r="J271" s="17"/>
      <c r="K271" s="17">
        <v>0</v>
      </c>
      <c r="L271" s="17"/>
      <c r="M271" s="22">
        <v>0</v>
      </c>
      <c r="N271" s="17"/>
      <c r="O271" s="22">
        <v>0</v>
      </c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0</v>
      </c>
      <c r="E272" s="17"/>
      <c r="F272" s="17">
        <v>0</v>
      </c>
      <c r="G272" s="17"/>
      <c r="H272" s="16">
        <v>0</v>
      </c>
      <c r="I272" s="17"/>
      <c r="J272" s="17">
        <v>0</v>
      </c>
      <c r="K272" s="17"/>
      <c r="L272" s="17">
        <v>0</v>
      </c>
      <c r="M272" s="22"/>
      <c r="N272" s="17">
        <v>0</v>
      </c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0</v>
      </c>
      <c r="F273" s="17"/>
      <c r="G273" s="17">
        <v>0</v>
      </c>
      <c r="H273" s="16"/>
      <c r="I273" s="17">
        <v>0</v>
      </c>
      <c r="J273" s="17"/>
      <c r="K273" s="17">
        <v>0</v>
      </c>
      <c r="L273" s="17"/>
      <c r="M273" s="22">
        <v>0</v>
      </c>
      <c r="N273" s="17"/>
      <c r="O273" s="22">
        <v>0</v>
      </c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0</v>
      </c>
      <c r="E274" s="17"/>
      <c r="F274" s="17">
        <v>0</v>
      </c>
      <c r="G274" s="17"/>
      <c r="H274" s="16">
        <v>0</v>
      </c>
      <c r="I274" s="17"/>
      <c r="J274" s="17">
        <v>0</v>
      </c>
      <c r="K274" s="17"/>
      <c r="L274" s="17">
        <v>0</v>
      </c>
      <c r="M274" s="22"/>
      <c r="N274" s="17">
        <v>0</v>
      </c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0</v>
      </c>
      <c r="F275" s="17"/>
      <c r="G275" s="17">
        <v>0</v>
      </c>
      <c r="H275" s="16"/>
      <c r="I275" s="17">
        <v>0</v>
      </c>
      <c r="J275" s="17"/>
      <c r="K275" s="17">
        <v>0</v>
      </c>
      <c r="L275" s="17"/>
      <c r="M275" s="22">
        <v>0</v>
      </c>
      <c r="N275" s="17"/>
      <c r="O275" s="22">
        <v>0</v>
      </c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0</v>
      </c>
      <c r="E276" s="17"/>
      <c r="F276" s="17">
        <v>0</v>
      </c>
      <c r="G276" s="17"/>
      <c r="H276" s="16">
        <v>0</v>
      </c>
      <c r="I276" s="17"/>
      <c r="J276" s="17">
        <v>0</v>
      </c>
      <c r="K276" s="17"/>
      <c r="L276" s="17">
        <v>0</v>
      </c>
      <c r="M276" s="22"/>
      <c r="N276" s="17">
        <v>0</v>
      </c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0</v>
      </c>
      <c r="F277" s="17"/>
      <c r="G277" s="17">
        <v>0</v>
      </c>
      <c r="H277" s="16"/>
      <c r="I277" s="17">
        <v>0</v>
      </c>
      <c r="J277" s="17"/>
      <c r="K277" s="17">
        <v>0</v>
      </c>
      <c r="L277" s="17"/>
      <c r="M277" s="22">
        <v>0</v>
      </c>
      <c r="N277" s="17"/>
      <c r="O277" s="22">
        <v>0</v>
      </c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0</v>
      </c>
      <c r="E278" s="17"/>
      <c r="F278" s="17">
        <v>0</v>
      </c>
      <c r="G278" s="17"/>
      <c r="H278" s="16">
        <v>0</v>
      </c>
      <c r="I278" s="17"/>
      <c r="J278" s="17">
        <v>0</v>
      </c>
      <c r="K278" s="17"/>
      <c r="L278" s="17">
        <v>0</v>
      </c>
      <c r="M278" s="22"/>
      <c r="N278" s="17">
        <v>0</v>
      </c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0</v>
      </c>
      <c r="F279" s="17"/>
      <c r="G279" s="17">
        <v>0</v>
      </c>
      <c r="H279" s="16"/>
      <c r="I279" s="17">
        <v>0</v>
      </c>
      <c r="J279" s="17"/>
      <c r="K279" s="17">
        <v>0</v>
      </c>
      <c r="L279" s="17"/>
      <c r="M279" s="22">
        <v>0</v>
      </c>
      <c r="N279" s="17"/>
      <c r="O279" s="22">
        <v>0</v>
      </c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0</v>
      </c>
      <c r="E280" s="17"/>
      <c r="F280" s="17">
        <v>0</v>
      </c>
      <c r="G280" s="17"/>
      <c r="H280" s="16">
        <v>0</v>
      </c>
      <c r="I280" s="17"/>
      <c r="J280" s="17">
        <v>0</v>
      </c>
      <c r="K280" s="17"/>
      <c r="L280" s="17">
        <v>0</v>
      </c>
      <c r="M280" s="22"/>
      <c r="N280" s="17">
        <v>0</v>
      </c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0</v>
      </c>
      <c r="F281" s="17"/>
      <c r="G281" s="17">
        <v>0</v>
      </c>
      <c r="H281" s="16"/>
      <c r="I281" s="17">
        <v>0</v>
      </c>
      <c r="J281" s="17"/>
      <c r="K281" s="17">
        <v>0</v>
      </c>
      <c r="L281" s="17"/>
      <c r="M281" s="22">
        <v>0</v>
      </c>
      <c r="N281" s="17"/>
      <c r="O281" s="22">
        <v>0</v>
      </c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0</v>
      </c>
      <c r="E282" s="17"/>
      <c r="F282" s="17">
        <v>0</v>
      </c>
      <c r="G282" s="17"/>
      <c r="H282" s="16">
        <v>0</v>
      </c>
      <c r="I282" s="17"/>
      <c r="J282" s="17">
        <v>0</v>
      </c>
      <c r="K282" s="17"/>
      <c r="L282" s="17">
        <v>0</v>
      </c>
      <c r="M282" s="22"/>
      <c r="N282" s="17">
        <v>0</v>
      </c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0</v>
      </c>
      <c r="F283" s="17"/>
      <c r="G283" s="17">
        <v>0</v>
      </c>
      <c r="H283" s="16"/>
      <c r="I283" s="17">
        <v>0</v>
      </c>
      <c r="J283" s="17"/>
      <c r="K283" s="17">
        <v>0</v>
      </c>
      <c r="L283" s="17"/>
      <c r="M283" s="22">
        <v>0</v>
      </c>
      <c r="N283" s="17"/>
      <c r="O283" s="22">
        <v>0</v>
      </c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0</v>
      </c>
      <c r="E284" s="17"/>
      <c r="F284" s="17">
        <v>0</v>
      </c>
      <c r="G284" s="17"/>
      <c r="H284" s="16">
        <v>0</v>
      </c>
      <c r="I284" s="17"/>
      <c r="J284" s="17">
        <v>0</v>
      </c>
      <c r="K284" s="17"/>
      <c r="L284" s="17">
        <v>0</v>
      </c>
      <c r="M284" s="22"/>
      <c r="N284" s="17">
        <v>0</v>
      </c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0</v>
      </c>
      <c r="F285" s="17"/>
      <c r="G285" s="17">
        <v>0</v>
      </c>
      <c r="H285" s="16"/>
      <c r="I285" s="17">
        <v>0</v>
      </c>
      <c r="J285" s="17"/>
      <c r="K285" s="17">
        <v>0</v>
      </c>
      <c r="L285" s="17"/>
      <c r="M285" s="22">
        <v>0</v>
      </c>
      <c r="N285" s="17"/>
      <c r="O285" s="22">
        <v>0</v>
      </c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>
        <v>0</v>
      </c>
      <c r="I286" s="17"/>
      <c r="J286" s="17">
        <v>0</v>
      </c>
      <c r="K286" s="17"/>
      <c r="L286" s="17">
        <v>0</v>
      </c>
      <c r="M286" s="22"/>
      <c r="N286" s="17">
        <v>0</v>
      </c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>
        <v>0</v>
      </c>
      <c r="J287" s="17"/>
      <c r="K287" s="17">
        <v>0</v>
      </c>
      <c r="L287" s="17"/>
      <c r="M287" s="22">
        <v>0</v>
      </c>
      <c r="N287" s="17"/>
      <c r="O287" s="22">
        <v>0</v>
      </c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>
        <v>0</v>
      </c>
      <c r="I288" s="17"/>
      <c r="J288" s="17">
        <v>0</v>
      </c>
      <c r="K288" s="17"/>
      <c r="L288" s="17">
        <v>0</v>
      </c>
      <c r="M288" s="22"/>
      <c r="N288" s="17">
        <v>0</v>
      </c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>
        <v>0</v>
      </c>
      <c r="J289" s="17"/>
      <c r="K289" s="17">
        <v>0</v>
      </c>
      <c r="L289" s="17"/>
      <c r="M289" s="22">
        <v>0</v>
      </c>
      <c r="N289" s="17"/>
      <c r="O289" s="22">
        <v>0</v>
      </c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>
        <v>0</v>
      </c>
      <c r="I290" s="17"/>
      <c r="J290" s="17">
        <v>0</v>
      </c>
      <c r="K290" s="17"/>
      <c r="L290" s="17">
        <v>0</v>
      </c>
      <c r="M290" s="22"/>
      <c r="N290" s="17">
        <v>0</v>
      </c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211.88</v>
      </c>
      <c r="F291" s="17"/>
      <c r="G291" s="17">
        <v>63.5</v>
      </c>
      <c r="H291" s="16"/>
      <c r="I291" s="17">
        <v>211.88</v>
      </c>
      <c r="J291" s="17"/>
      <c r="K291" s="17">
        <v>63.5</v>
      </c>
      <c r="L291" s="17"/>
      <c r="M291" s="22">
        <v>211.88</v>
      </c>
      <c r="N291" s="17"/>
      <c r="O291" s="22">
        <v>63.5</v>
      </c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16.95</v>
      </c>
      <c r="E292" s="17"/>
      <c r="F292" s="17">
        <v>5.08</v>
      </c>
      <c r="G292" s="17"/>
      <c r="H292" s="16">
        <v>16.95</v>
      </c>
      <c r="I292" s="17"/>
      <c r="J292" s="17">
        <v>5.08</v>
      </c>
      <c r="K292" s="17"/>
      <c r="L292" s="17">
        <v>16.95</v>
      </c>
      <c r="M292" s="22"/>
      <c r="N292" s="17">
        <v>5.08</v>
      </c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635.5</v>
      </c>
      <c r="F293" s="17"/>
      <c r="G293" s="17">
        <v>129</v>
      </c>
      <c r="H293" s="16"/>
      <c r="I293" s="17">
        <v>635.5</v>
      </c>
      <c r="J293" s="17"/>
      <c r="K293" s="17">
        <v>129</v>
      </c>
      <c r="L293" s="17"/>
      <c r="M293" s="22">
        <v>635.5</v>
      </c>
      <c r="N293" s="17"/>
      <c r="O293" s="22">
        <v>129</v>
      </c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33.89</v>
      </c>
      <c r="E294" s="17"/>
      <c r="F294" s="17">
        <v>5.24</v>
      </c>
      <c r="G294" s="17"/>
      <c r="H294" s="16">
        <v>33.89</v>
      </c>
      <c r="I294" s="17"/>
      <c r="J294" s="17">
        <v>5.24</v>
      </c>
      <c r="K294" s="17"/>
      <c r="L294" s="17">
        <v>33.89</v>
      </c>
      <c r="M294" s="22"/>
      <c r="N294" s="17">
        <v>5.24</v>
      </c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899.25</v>
      </c>
      <c r="F295" s="17"/>
      <c r="G295" s="17">
        <v>92.63</v>
      </c>
      <c r="H295" s="16"/>
      <c r="I295" s="17">
        <v>899.25</v>
      </c>
      <c r="J295" s="17"/>
      <c r="K295" s="17">
        <v>92.63</v>
      </c>
      <c r="L295" s="17"/>
      <c r="M295" s="22">
        <v>899.25</v>
      </c>
      <c r="N295" s="17"/>
      <c r="O295" s="22">
        <v>92.63</v>
      </c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38.05</v>
      </c>
      <c r="E296" s="17"/>
      <c r="F296" s="17">
        <v>2.17</v>
      </c>
      <c r="G296" s="17"/>
      <c r="H296" s="16">
        <v>38.05</v>
      </c>
      <c r="I296" s="17"/>
      <c r="J296" s="17">
        <v>2.17</v>
      </c>
      <c r="K296" s="17"/>
      <c r="L296" s="17">
        <v>38.05</v>
      </c>
      <c r="M296" s="22"/>
      <c r="N296" s="17">
        <v>2.17</v>
      </c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915.25</v>
      </c>
      <c r="F297" s="17"/>
      <c r="G297" s="17">
        <v>53.63</v>
      </c>
      <c r="H297" s="16"/>
      <c r="I297" s="17">
        <v>915.25</v>
      </c>
      <c r="J297" s="17"/>
      <c r="K297" s="17">
        <v>53.63</v>
      </c>
      <c r="L297" s="17"/>
      <c r="M297" s="22">
        <v>887.88</v>
      </c>
      <c r="N297" s="17"/>
      <c r="O297" s="22">
        <v>53.63</v>
      </c>
      <c r="P297" s="19">
        <f t="shared" si="47"/>
        <v>27.37</v>
      </c>
    </row>
    <row r="298" ht="12" customHeight="1" spans="1:16">
      <c r="A298" s="14">
        <v>145</v>
      </c>
      <c r="B298" s="15" t="s">
        <v>160</v>
      </c>
      <c r="C298" s="18"/>
      <c r="D298" s="16">
        <v>35.17</v>
      </c>
      <c r="E298" s="17"/>
      <c r="F298" s="17">
        <v>2.12</v>
      </c>
      <c r="G298" s="17"/>
      <c r="H298" s="16">
        <v>35.17</v>
      </c>
      <c r="I298" s="17"/>
      <c r="J298" s="17">
        <v>2.12</v>
      </c>
      <c r="K298" s="17"/>
      <c r="L298" s="17">
        <v>32.98</v>
      </c>
      <c r="M298" s="22"/>
      <c r="N298" s="17">
        <v>2.12</v>
      </c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955</v>
      </c>
      <c r="F299" s="17"/>
      <c r="G299" s="17">
        <v>68.88</v>
      </c>
      <c r="H299" s="16"/>
      <c r="I299" s="17">
        <v>955</v>
      </c>
      <c r="J299" s="17"/>
      <c r="K299" s="17">
        <v>68.88</v>
      </c>
      <c r="L299" s="17"/>
      <c r="M299" s="22">
        <v>898.75</v>
      </c>
      <c r="N299" s="17"/>
      <c r="O299" s="22">
        <v>68.88</v>
      </c>
      <c r="P299" s="19">
        <f t="shared" si="47"/>
        <v>56.25</v>
      </c>
    </row>
    <row r="300" ht="12" customHeight="1" spans="1:16">
      <c r="A300" s="14">
        <v>146</v>
      </c>
      <c r="B300" s="15" t="s">
        <v>161</v>
      </c>
      <c r="C300" s="18"/>
      <c r="D300" s="16">
        <v>41.23</v>
      </c>
      <c r="E300" s="17"/>
      <c r="F300" s="17">
        <v>3.39</v>
      </c>
      <c r="G300" s="17"/>
      <c r="H300" s="16">
        <v>41.23</v>
      </c>
      <c r="I300" s="17"/>
      <c r="J300" s="17">
        <v>3.39</v>
      </c>
      <c r="K300" s="17"/>
      <c r="L300" s="17">
        <v>38.92</v>
      </c>
      <c r="M300" s="22"/>
      <c r="N300" s="17">
        <v>3.39</v>
      </c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911.38</v>
      </c>
      <c r="F301" s="17"/>
      <c r="G301" s="17">
        <v>66.38</v>
      </c>
      <c r="H301" s="16"/>
      <c r="I301" s="17">
        <v>911.38</v>
      </c>
      <c r="J301" s="17"/>
      <c r="K301" s="17">
        <v>66.38</v>
      </c>
      <c r="L301" s="17"/>
      <c r="M301" s="22">
        <v>816.25</v>
      </c>
      <c r="N301" s="17"/>
      <c r="O301" s="22">
        <v>66.38</v>
      </c>
      <c r="P301" s="19">
        <f t="shared" ref="P301:P305" si="48">I301+K301-M301-O301</f>
        <v>95.13</v>
      </c>
    </row>
    <row r="302" ht="12" customHeight="1" spans="1:16">
      <c r="A302" s="14">
        <v>147</v>
      </c>
      <c r="B302" s="15" t="s">
        <v>162</v>
      </c>
      <c r="C302" s="18"/>
      <c r="D302" s="16">
        <v>31.68</v>
      </c>
      <c r="E302" s="17"/>
      <c r="F302" s="17">
        <v>1.92</v>
      </c>
      <c r="G302" s="17"/>
      <c r="H302" s="16">
        <v>31.68</v>
      </c>
      <c r="I302" s="17"/>
      <c r="J302" s="17">
        <v>1.92</v>
      </c>
      <c r="K302" s="17"/>
      <c r="L302" s="17">
        <v>26.38</v>
      </c>
      <c r="M302" s="22"/>
      <c r="N302" s="17">
        <v>1.92</v>
      </c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396</v>
      </c>
      <c r="F303" s="17"/>
      <c r="G303" s="17">
        <v>24</v>
      </c>
      <c r="H303" s="16"/>
      <c r="I303" s="17">
        <v>396</v>
      </c>
      <c r="J303" s="17"/>
      <c r="K303" s="17">
        <v>24</v>
      </c>
      <c r="L303" s="17"/>
      <c r="M303" s="22">
        <v>329.75</v>
      </c>
      <c r="N303" s="17"/>
      <c r="O303" s="22">
        <v>24</v>
      </c>
      <c r="P303" s="19">
        <f t="shared" si="48"/>
        <v>66.25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>
        <v>0</v>
      </c>
      <c r="I304" s="17"/>
      <c r="J304" s="17">
        <v>0</v>
      </c>
      <c r="K304" s="17"/>
      <c r="L304" s="17">
        <v>0</v>
      </c>
      <c r="M304" s="22"/>
      <c r="N304" s="17">
        <v>0</v>
      </c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>
        <v>0</v>
      </c>
      <c r="J305" s="17"/>
      <c r="K305" s="17">
        <v>0</v>
      </c>
      <c r="L305" s="17"/>
      <c r="M305" s="22">
        <v>0</v>
      </c>
      <c r="N305" s="17"/>
      <c r="O305" s="22">
        <v>0</v>
      </c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>
        <v>0</v>
      </c>
      <c r="I306" s="17"/>
      <c r="J306" s="17">
        <v>0</v>
      </c>
      <c r="K306" s="17"/>
      <c r="L306" s="17">
        <v>0</v>
      </c>
      <c r="M306" s="22"/>
      <c r="N306" s="17">
        <v>0</v>
      </c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>
        <v>0</v>
      </c>
      <c r="J307" s="17"/>
      <c r="K307" s="17">
        <v>0</v>
      </c>
      <c r="L307" s="17"/>
      <c r="M307" s="22">
        <v>0</v>
      </c>
      <c r="N307" s="17"/>
      <c r="O307" s="22">
        <v>0</v>
      </c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>
        <v>0</v>
      </c>
      <c r="I308" s="17"/>
      <c r="J308" s="17">
        <v>0</v>
      </c>
      <c r="K308" s="17"/>
      <c r="L308" s="17">
        <v>0</v>
      </c>
      <c r="M308" s="22"/>
      <c r="N308" s="17">
        <v>0</v>
      </c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>
        <v>0</v>
      </c>
      <c r="J309" s="17"/>
      <c r="K309" s="17">
        <v>0</v>
      </c>
      <c r="L309" s="17"/>
      <c r="M309" s="22">
        <v>0</v>
      </c>
      <c r="N309" s="17"/>
      <c r="O309" s="22">
        <v>0</v>
      </c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>
        <v>0</v>
      </c>
      <c r="I310" s="17"/>
      <c r="J310" s="17">
        <v>0</v>
      </c>
      <c r="K310" s="17"/>
      <c r="L310" s="17">
        <v>0</v>
      </c>
      <c r="M310" s="22"/>
      <c r="N310" s="17">
        <v>0</v>
      </c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>
        <v>0</v>
      </c>
      <c r="J311" s="17"/>
      <c r="K311" s="17">
        <v>0</v>
      </c>
      <c r="L311" s="17"/>
      <c r="M311" s="22">
        <v>0</v>
      </c>
      <c r="N311" s="17"/>
      <c r="O311" s="22">
        <v>0</v>
      </c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>
        <v>0</v>
      </c>
      <c r="I312" s="17"/>
      <c r="J312" s="17">
        <v>0</v>
      </c>
      <c r="K312" s="17"/>
      <c r="L312" s="17">
        <v>0</v>
      </c>
      <c r="M312" s="22"/>
      <c r="N312" s="17">
        <v>0</v>
      </c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>
        <v>0</v>
      </c>
      <c r="J313" s="17"/>
      <c r="K313" s="17">
        <v>0</v>
      </c>
      <c r="L313" s="17"/>
      <c r="M313" s="22">
        <v>0</v>
      </c>
      <c r="N313" s="17"/>
      <c r="O313" s="22">
        <v>0</v>
      </c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>
        <v>0</v>
      </c>
      <c r="I314" s="17"/>
      <c r="J314" s="17">
        <v>0</v>
      </c>
      <c r="K314" s="17"/>
      <c r="L314" s="17">
        <v>0</v>
      </c>
      <c r="M314" s="22"/>
      <c r="N314" s="17">
        <v>0</v>
      </c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>
        <v>0</v>
      </c>
      <c r="J315" s="17"/>
      <c r="K315" s="17">
        <v>0</v>
      </c>
      <c r="L315" s="17"/>
      <c r="M315" s="22">
        <v>0</v>
      </c>
      <c r="N315" s="17"/>
      <c r="O315" s="22">
        <v>0</v>
      </c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>
        <v>0</v>
      </c>
      <c r="I316" s="17"/>
      <c r="J316" s="17">
        <v>0</v>
      </c>
      <c r="K316" s="17"/>
      <c r="L316" s="17">
        <v>0</v>
      </c>
      <c r="M316" s="22"/>
      <c r="N316" s="17">
        <v>0</v>
      </c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>
        <v>0</v>
      </c>
      <c r="J317" s="17"/>
      <c r="K317" s="17">
        <v>0</v>
      </c>
      <c r="L317" s="17"/>
      <c r="M317" s="22">
        <v>0</v>
      </c>
      <c r="N317" s="17"/>
      <c r="O317" s="22">
        <v>0</v>
      </c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>
        <v>0</v>
      </c>
      <c r="I318" s="17"/>
      <c r="J318" s="17">
        <v>0</v>
      </c>
      <c r="K318" s="17"/>
      <c r="L318" s="17">
        <v>0</v>
      </c>
      <c r="M318" s="22"/>
      <c r="N318" s="17">
        <v>0</v>
      </c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>
        <v>0</v>
      </c>
      <c r="J319" s="17"/>
      <c r="K319" s="17">
        <v>0</v>
      </c>
      <c r="L319" s="17"/>
      <c r="M319" s="22">
        <v>0</v>
      </c>
      <c r="N319" s="17"/>
      <c r="O319" s="22">
        <v>0</v>
      </c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>
        <v>0</v>
      </c>
      <c r="I320" s="17"/>
      <c r="J320" s="17">
        <v>0</v>
      </c>
      <c r="K320" s="17"/>
      <c r="L320" s="17">
        <v>0</v>
      </c>
      <c r="M320" s="22"/>
      <c r="N320" s="17">
        <v>0</v>
      </c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>
        <v>0</v>
      </c>
      <c r="J321" s="17"/>
      <c r="K321" s="17">
        <v>0</v>
      </c>
      <c r="L321" s="17"/>
      <c r="M321" s="22">
        <v>0</v>
      </c>
      <c r="N321" s="17"/>
      <c r="O321" s="22">
        <v>0</v>
      </c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>
        <v>0</v>
      </c>
      <c r="I322" s="17"/>
      <c r="J322" s="17">
        <v>0</v>
      </c>
      <c r="K322" s="17"/>
      <c r="L322" s="17">
        <v>0</v>
      </c>
      <c r="M322" s="22"/>
      <c r="N322" s="17">
        <v>0</v>
      </c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>
        <v>0</v>
      </c>
      <c r="J323" s="17"/>
      <c r="K323" s="17">
        <v>0</v>
      </c>
      <c r="L323" s="17"/>
      <c r="M323" s="22">
        <v>0</v>
      </c>
      <c r="N323" s="17"/>
      <c r="O323" s="22">
        <v>0</v>
      </c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>
        <v>0</v>
      </c>
      <c r="I324" s="17"/>
      <c r="J324" s="17">
        <v>0</v>
      </c>
      <c r="K324" s="17"/>
      <c r="L324" s="17">
        <v>0</v>
      </c>
      <c r="M324" s="22"/>
      <c r="N324" s="17">
        <v>0</v>
      </c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>
        <v>0</v>
      </c>
      <c r="J325" s="17"/>
      <c r="K325" s="17">
        <v>0</v>
      </c>
      <c r="L325" s="17"/>
      <c r="M325" s="22">
        <v>0</v>
      </c>
      <c r="N325" s="17"/>
      <c r="O325" s="22">
        <v>0</v>
      </c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>
        <v>0</v>
      </c>
      <c r="I326" s="17"/>
      <c r="J326" s="17">
        <v>0</v>
      </c>
      <c r="K326" s="17"/>
      <c r="L326" s="17">
        <v>0</v>
      </c>
      <c r="M326" s="22"/>
      <c r="N326" s="17">
        <v>0</v>
      </c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>
        <v>0</v>
      </c>
      <c r="J327" s="17"/>
      <c r="K327" s="17">
        <v>0</v>
      </c>
      <c r="L327" s="17"/>
      <c r="M327" s="22">
        <v>0</v>
      </c>
      <c r="N327" s="17"/>
      <c r="O327" s="22">
        <v>0</v>
      </c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>
        <v>0</v>
      </c>
      <c r="I328" s="17"/>
      <c r="J328" s="17">
        <v>0</v>
      </c>
      <c r="K328" s="17"/>
      <c r="L328" s="17">
        <v>0</v>
      </c>
      <c r="M328" s="22"/>
      <c r="N328" s="17">
        <v>0</v>
      </c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>
        <v>0</v>
      </c>
      <c r="J329" s="17"/>
      <c r="K329" s="17">
        <v>0</v>
      </c>
      <c r="L329" s="17"/>
      <c r="M329" s="22">
        <v>0</v>
      </c>
      <c r="N329" s="17"/>
      <c r="O329" s="22">
        <v>0</v>
      </c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>
        <v>0</v>
      </c>
      <c r="I330" s="17"/>
      <c r="J330" s="17">
        <v>0</v>
      </c>
      <c r="K330" s="17"/>
      <c r="L330" s="17">
        <v>0</v>
      </c>
      <c r="M330" s="22"/>
      <c r="N330" s="17">
        <v>0</v>
      </c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>
        <v>0</v>
      </c>
      <c r="J331" s="17"/>
      <c r="K331" s="17">
        <v>0</v>
      </c>
      <c r="L331" s="17"/>
      <c r="M331" s="22">
        <v>0</v>
      </c>
      <c r="N331" s="17"/>
      <c r="O331" s="22">
        <v>0</v>
      </c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>
        <v>0</v>
      </c>
      <c r="I332" s="17"/>
      <c r="J332" s="17">
        <v>0</v>
      </c>
      <c r="K332" s="17"/>
      <c r="L332" s="17">
        <v>0</v>
      </c>
      <c r="M332" s="22"/>
      <c r="N332" s="17">
        <v>0</v>
      </c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>
        <v>0</v>
      </c>
      <c r="J333" s="17"/>
      <c r="K333" s="17">
        <v>0</v>
      </c>
      <c r="L333" s="17"/>
      <c r="M333" s="22">
        <v>0</v>
      </c>
      <c r="N333" s="17"/>
      <c r="O333" s="22">
        <v>0</v>
      </c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>
        <v>0</v>
      </c>
      <c r="I334" s="17"/>
      <c r="J334" s="17">
        <v>0</v>
      </c>
      <c r="K334" s="17"/>
      <c r="L334" s="17">
        <v>0</v>
      </c>
      <c r="M334" s="22"/>
      <c r="N334" s="17">
        <v>0</v>
      </c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>
        <v>0</v>
      </c>
      <c r="J335" s="17"/>
      <c r="K335" s="17">
        <v>0</v>
      </c>
      <c r="L335" s="17"/>
      <c r="M335" s="22">
        <v>0</v>
      </c>
      <c r="N335" s="17"/>
      <c r="O335" s="22">
        <v>0</v>
      </c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>
        <v>0</v>
      </c>
      <c r="I336" s="17"/>
      <c r="J336" s="17">
        <v>0</v>
      </c>
      <c r="K336" s="17"/>
      <c r="L336" s="17">
        <v>0</v>
      </c>
      <c r="M336" s="22"/>
      <c r="N336" s="17">
        <v>0</v>
      </c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>
        <v>0</v>
      </c>
      <c r="J337" s="17"/>
      <c r="K337" s="17">
        <v>0</v>
      </c>
      <c r="L337" s="17"/>
      <c r="M337" s="22">
        <v>0</v>
      </c>
      <c r="N337" s="17"/>
      <c r="O337" s="22">
        <v>0</v>
      </c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>
        <v>0</v>
      </c>
      <c r="I338" s="17"/>
      <c r="J338" s="17">
        <v>0</v>
      </c>
      <c r="K338" s="17"/>
      <c r="L338" s="17">
        <v>0</v>
      </c>
      <c r="M338" s="22"/>
      <c r="N338" s="17">
        <v>0</v>
      </c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>
        <v>0</v>
      </c>
      <c r="J339" s="17"/>
      <c r="K339" s="17">
        <v>0</v>
      </c>
      <c r="L339" s="17"/>
      <c r="M339" s="22">
        <v>0</v>
      </c>
      <c r="N339" s="17"/>
      <c r="O339" s="22">
        <v>0</v>
      </c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>
        <v>0</v>
      </c>
      <c r="I340" s="17"/>
      <c r="J340" s="17">
        <v>0</v>
      </c>
      <c r="K340" s="17"/>
      <c r="L340" s="17">
        <v>0</v>
      </c>
      <c r="M340" s="22"/>
      <c r="N340" s="17">
        <v>0</v>
      </c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>
        <v>0</v>
      </c>
      <c r="J341" s="17"/>
      <c r="K341" s="17">
        <v>0</v>
      </c>
      <c r="L341" s="17"/>
      <c r="M341" s="22">
        <v>0</v>
      </c>
      <c r="N341" s="17"/>
      <c r="O341" s="22">
        <v>0</v>
      </c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>
        <v>0</v>
      </c>
      <c r="I342" s="17"/>
      <c r="J342" s="17">
        <v>0</v>
      </c>
      <c r="K342" s="17"/>
      <c r="L342" s="17">
        <v>0</v>
      </c>
      <c r="M342" s="22"/>
      <c r="N342" s="17">
        <v>0</v>
      </c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>
        <v>0</v>
      </c>
      <c r="J343" s="17"/>
      <c r="K343" s="17">
        <v>0</v>
      </c>
      <c r="L343" s="17"/>
      <c r="M343" s="22">
        <v>0</v>
      </c>
      <c r="N343" s="17"/>
      <c r="O343" s="22">
        <v>0</v>
      </c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>
        <v>0</v>
      </c>
      <c r="I344" s="17"/>
      <c r="J344" s="17">
        <v>0</v>
      </c>
      <c r="K344" s="17"/>
      <c r="L344" s="17">
        <v>0</v>
      </c>
      <c r="M344" s="22"/>
      <c r="N344" s="17">
        <v>0</v>
      </c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>
        <v>0</v>
      </c>
      <c r="J345" s="17"/>
      <c r="K345" s="17">
        <v>0</v>
      </c>
      <c r="L345" s="17"/>
      <c r="M345" s="22">
        <v>0</v>
      </c>
      <c r="N345" s="17"/>
      <c r="O345" s="22">
        <v>0</v>
      </c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>
        <v>0</v>
      </c>
      <c r="I346" s="17"/>
      <c r="J346" s="17">
        <v>0</v>
      </c>
      <c r="K346" s="17"/>
      <c r="L346" s="17">
        <v>0</v>
      </c>
      <c r="M346" s="22"/>
      <c r="N346" s="17">
        <v>0</v>
      </c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>
        <v>0</v>
      </c>
      <c r="J347" s="17"/>
      <c r="K347" s="17">
        <v>0</v>
      </c>
      <c r="L347" s="17"/>
      <c r="M347" s="22">
        <v>0</v>
      </c>
      <c r="N347" s="17"/>
      <c r="O347" s="22">
        <v>0</v>
      </c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>
        <v>0</v>
      </c>
      <c r="I348" s="17"/>
      <c r="J348" s="17">
        <v>0</v>
      </c>
      <c r="K348" s="17"/>
      <c r="L348" s="17">
        <v>0</v>
      </c>
      <c r="M348" s="22"/>
      <c r="N348" s="17">
        <v>0</v>
      </c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>
        <v>0</v>
      </c>
      <c r="J349" s="17"/>
      <c r="K349" s="17">
        <v>0</v>
      </c>
      <c r="L349" s="17"/>
      <c r="M349" s="22">
        <v>0</v>
      </c>
      <c r="N349" s="17"/>
      <c r="O349" s="22">
        <v>0</v>
      </c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>
        <v>0</v>
      </c>
      <c r="I350" s="17"/>
      <c r="J350" s="17">
        <v>0</v>
      </c>
      <c r="K350" s="17"/>
      <c r="L350" s="17">
        <v>0</v>
      </c>
      <c r="M350" s="22"/>
      <c r="N350" s="17">
        <v>0</v>
      </c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>
        <v>0</v>
      </c>
      <c r="J351" s="17"/>
      <c r="K351" s="17">
        <v>0</v>
      </c>
      <c r="L351" s="17"/>
      <c r="M351" s="22">
        <v>0</v>
      </c>
      <c r="N351" s="17"/>
      <c r="O351" s="22">
        <v>0</v>
      </c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>
        <v>0</v>
      </c>
      <c r="I352" s="17"/>
      <c r="J352" s="17">
        <v>0</v>
      </c>
      <c r="K352" s="17"/>
      <c r="L352" s="17">
        <v>0</v>
      </c>
      <c r="M352" s="22"/>
      <c r="N352" s="17">
        <v>0</v>
      </c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>
        <v>0</v>
      </c>
      <c r="J353" s="17"/>
      <c r="K353" s="17">
        <v>0</v>
      </c>
      <c r="L353" s="17"/>
      <c r="M353" s="22">
        <v>0</v>
      </c>
      <c r="N353" s="17"/>
      <c r="O353" s="22">
        <v>0</v>
      </c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>
        <v>0</v>
      </c>
      <c r="I354" s="17"/>
      <c r="J354" s="17">
        <v>0</v>
      </c>
      <c r="K354" s="17"/>
      <c r="L354" s="17">
        <v>0</v>
      </c>
      <c r="M354" s="22"/>
      <c r="N354" s="17">
        <v>0</v>
      </c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>
        <v>0</v>
      </c>
      <c r="J355" s="17"/>
      <c r="K355" s="17">
        <v>0</v>
      </c>
      <c r="L355" s="17"/>
      <c r="M355" s="22">
        <v>0</v>
      </c>
      <c r="N355" s="17"/>
      <c r="O355" s="22">
        <v>0</v>
      </c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>
        <v>0</v>
      </c>
      <c r="I356" s="17"/>
      <c r="J356" s="17">
        <v>0</v>
      </c>
      <c r="K356" s="17"/>
      <c r="L356" s="17">
        <v>0</v>
      </c>
      <c r="M356" s="22"/>
      <c r="N356" s="17">
        <v>0</v>
      </c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>
        <v>0</v>
      </c>
      <c r="J357" s="17"/>
      <c r="K357" s="17">
        <v>0</v>
      </c>
      <c r="L357" s="17"/>
      <c r="M357" s="22">
        <v>0</v>
      </c>
      <c r="N357" s="17"/>
      <c r="O357" s="22">
        <v>0</v>
      </c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>
        <v>0</v>
      </c>
      <c r="I358" s="17"/>
      <c r="J358" s="17">
        <v>0</v>
      </c>
      <c r="K358" s="17"/>
      <c r="L358" s="17">
        <v>0</v>
      </c>
      <c r="M358" s="22"/>
      <c r="N358" s="17">
        <v>0</v>
      </c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>
        <v>0</v>
      </c>
      <c r="J359" s="17"/>
      <c r="K359" s="17">
        <v>0</v>
      </c>
      <c r="L359" s="17"/>
      <c r="M359" s="22">
        <v>0</v>
      </c>
      <c r="N359" s="17"/>
      <c r="O359" s="22">
        <v>0</v>
      </c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>
        <v>0</v>
      </c>
      <c r="I360" s="17"/>
      <c r="J360" s="17">
        <v>0</v>
      </c>
      <c r="K360" s="17"/>
      <c r="L360" s="17">
        <v>0</v>
      </c>
      <c r="M360" s="22"/>
      <c r="N360" s="17">
        <v>0</v>
      </c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>
        <v>0</v>
      </c>
      <c r="J361" s="17"/>
      <c r="K361" s="17">
        <v>0</v>
      </c>
      <c r="L361" s="17"/>
      <c r="M361" s="22">
        <v>0</v>
      </c>
      <c r="N361" s="17"/>
      <c r="O361" s="22">
        <v>0</v>
      </c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>
        <v>0</v>
      </c>
      <c r="I362" s="17"/>
      <c r="J362" s="17">
        <v>0</v>
      </c>
      <c r="K362" s="17"/>
      <c r="L362" s="17">
        <v>0</v>
      </c>
      <c r="M362" s="22"/>
      <c r="N362" s="17">
        <v>0</v>
      </c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>
        <v>0</v>
      </c>
      <c r="J363" s="17"/>
      <c r="K363" s="24">
        <v>0</v>
      </c>
      <c r="L363" s="17"/>
      <c r="M363" s="24">
        <v>0</v>
      </c>
      <c r="N363" s="17"/>
      <c r="O363" s="24">
        <v>0</v>
      </c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>
        <v>0</v>
      </c>
      <c r="I364" s="26"/>
      <c r="J364" s="17">
        <v>0</v>
      </c>
      <c r="K364" s="26"/>
      <c r="L364" s="17">
        <v>0</v>
      </c>
      <c r="M364" s="26"/>
      <c r="N364" s="17">
        <v>0</v>
      </c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>
        <v>0</v>
      </c>
      <c r="J365" s="17"/>
      <c r="K365" s="17">
        <v>0</v>
      </c>
      <c r="L365" s="17"/>
      <c r="M365" s="22">
        <v>0</v>
      </c>
      <c r="N365" s="17"/>
      <c r="O365" s="22">
        <v>0</v>
      </c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>
        <v>0</v>
      </c>
      <c r="I366" s="17"/>
      <c r="J366" s="17">
        <v>0</v>
      </c>
      <c r="K366" s="17"/>
      <c r="L366" s="17">
        <v>0</v>
      </c>
      <c r="M366" s="22"/>
      <c r="N366" s="17">
        <v>0</v>
      </c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>
        <v>0</v>
      </c>
      <c r="J367" s="17"/>
      <c r="K367" s="17">
        <v>0</v>
      </c>
      <c r="L367" s="17"/>
      <c r="M367" s="22">
        <v>0</v>
      </c>
      <c r="N367" s="17"/>
      <c r="O367" s="22">
        <v>0</v>
      </c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>
        <v>0</v>
      </c>
      <c r="I368" s="17"/>
      <c r="J368" s="17">
        <v>0</v>
      </c>
      <c r="K368" s="17"/>
      <c r="L368" s="17">
        <v>0</v>
      </c>
      <c r="M368" s="22"/>
      <c r="N368" s="17">
        <v>0</v>
      </c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>
        <v>0</v>
      </c>
      <c r="J369" s="17"/>
      <c r="K369" s="17">
        <v>0</v>
      </c>
      <c r="L369" s="17"/>
      <c r="M369" s="22">
        <v>0</v>
      </c>
      <c r="N369" s="17"/>
      <c r="O369" s="22">
        <v>0</v>
      </c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>
        <v>0</v>
      </c>
      <c r="I370" s="17"/>
      <c r="J370" s="17">
        <v>0</v>
      </c>
      <c r="K370" s="17"/>
      <c r="L370" s="17">
        <v>0</v>
      </c>
      <c r="M370" s="22"/>
      <c r="N370" s="17">
        <v>0</v>
      </c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>
        <v>0</v>
      </c>
      <c r="J371" s="17"/>
      <c r="K371" s="17">
        <v>0</v>
      </c>
      <c r="L371" s="17"/>
      <c r="M371" s="22">
        <v>0</v>
      </c>
      <c r="N371" s="17"/>
      <c r="O371" s="22">
        <v>0</v>
      </c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>
        <v>0</v>
      </c>
      <c r="I372" s="17"/>
      <c r="J372" s="17">
        <v>0</v>
      </c>
      <c r="K372" s="17"/>
      <c r="L372" s="17">
        <v>0</v>
      </c>
      <c r="M372" s="22"/>
      <c r="N372" s="17">
        <v>0</v>
      </c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>
        <v>0</v>
      </c>
      <c r="J373" s="17"/>
      <c r="K373" s="17">
        <v>0</v>
      </c>
      <c r="L373" s="17"/>
      <c r="M373" s="22">
        <v>0</v>
      </c>
      <c r="N373" s="17"/>
      <c r="O373" s="22">
        <v>0</v>
      </c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>
        <v>0</v>
      </c>
      <c r="I374" s="17"/>
      <c r="J374" s="17">
        <v>0</v>
      </c>
      <c r="K374" s="17"/>
      <c r="L374" s="17">
        <v>0</v>
      </c>
      <c r="M374" s="22"/>
      <c r="N374" s="17">
        <v>0</v>
      </c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>
        <v>0</v>
      </c>
      <c r="J375" s="17"/>
      <c r="K375" s="17">
        <v>0</v>
      </c>
      <c r="L375" s="17"/>
      <c r="M375" s="22">
        <v>0</v>
      </c>
      <c r="N375" s="17"/>
      <c r="O375" s="22">
        <v>0</v>
      </c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>
        <v>0</v>
      </c>
      <c r="I376" s="17"/>
      <c r="J376" s="17">
        <v>0</v>
      </c>
      <c r="K376" s="17"/>
      <c r="L376" s="17">
        <v>0</v>
      </c>
      <c r="M376" s="22"/>
      <c r="N376" s="17">
        <v>0</v>
      </c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>
        <v>0</v>
      </c>
      <c r="J377" s="17"/>
      <c r="K377" s="17">
        <v>0</v>
      </c>
      <c r="L377" s="17"/>
      <c r="M377" s="22">
        <v>0</v>
      </c>
      <c r="N377" s="17"/>
      <c r="O377" s="22">
        <v>0</v>
      </c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>
        <v>0</v>
      </c>
      <c r="I378" s="17"/>
      <c r="J378" s="17">
        <v>0</v>
      </c>
      <c r="K378" s="17"/>
      <c r="L378" s="17">
        <v>0</v>
      </c>
      <c r="M378" s="22"/>
      <c r="N378" s="17">
        <v>0</v>
      </c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>
        <v>0</v>
      </c>
      <c r="J379" s="17"/>
      <c r="K379" s="17">
        <v>0</v>
      </c>
      <c r="L379" s="17"/>
      <c r="M379" s="22">
        <v>0</v>
      </c>
      <c r="N379" s="17"/>
      <c r="O379" s="22">
        <v>0</v>
      </c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>
        <v>0</v>
      </c>
      <c r="I380" s="17"/>
      <c r="J380" s="17">
        <v>0</v>
      </c>
      <c r="K380" s="17"/>
      <c r="L380" s="17">
        <v>0</v>
      </c>
      <c r="M380" s="22"/>
      <c r="N380" s="17">
        <v>0</v>
      </c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>
        <v>0</v>
      </c>
      <c r="J381" s="17"/>
      <c r="K381" s="17">
        <v>0</v>
      </c>
      <c r="L381" s="17"/>
      <c r="M381" s="22">
        <v>0</v>
      </c>
      <c r="N381" s="17"/>
      <c r="O381" s="22">
        <v>0</v>
      </c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>
        <v>0</v>
      </c>
      <c r="I382" s="17"/>
      <c r="J382" s="17">
        <v>0</v>
      </c>
      <c r="K382" s="17"/>
      <c r="L382" s="17">
        <v>0</v>
      </c>
      <c r="M382" s="22"/>
      <c r="N382" s="17">
        <v>0</v>
      </c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>
        <v>0</v>
      </c>
      <c r="J383" s="17"/>
      <c r="K383" s="17">
        <v>0</v>
      </c>
      <c r="L383" s="17"/>
      <c r="M383" s="22">
        <v>0</v>
      </c>
      <c r="N383" s="17"/>
      <c r="O383" s="22">
        <v>0</v>
      </c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>
        <v>0</v>
      </c>
      <c r="I384" s="17"/>
      <c r="J384" s="17">
        <v>0</v>
      </c>
      <c r="K384" s="17"/>
      <c r="L384" s="17">
        <v>0</v>
      </c>
      <c r="M384" s="22"/>
      <c r="N384" s="17">
        <v>0</v>
      </c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>
        <v>0</v>
      </c>
      <c r="J385" s="17"/>
      <c r="K385" s="17">
        <v>0</v>
      </c>
      <c r="L385" s="17"/>
      <c r="M385" s="22">
        <v>0</v>
      </c>
      <c r="N385" s="17"/>
      <c r="O385" s="22">
        <v>0</v>
      </c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>
        <v>0</v>
      </c>
      <c r="I386" s="17"/>
      <c r="J386" s="17">
        <v>0</v>
      </c>
      <c r="K386" s="17"/>
      <c r="L386" s="17">
        <v>0</v>
      </c>
      <c r="M386" s="22"/>
      <c r="N386" s="17">
        <v>0</v>
      </c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>
        <v>0</v>
      </c>
      <c r="J387" s="17"/>
      <c r="K387" s="17">
        <v>0</v>
      </c>
      <c r="L387" s="17"/>
      <c r="M387" s="22">
        <v>0</v>
      </c>
      <c r="N387" s="17"/>
      <c r="O387" s="22">
        <v>0</v>
      </c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>
        <v>0</v>
      </c>
      <c r="I388" s="17"/>
      <c r="J388" s="17">
        <v>0</v>
      </c>
      <c r="K388" s="17"/>
      <c r="L388" s="17">
        <v>0</v>
      </c>
      <c r="M388" s="22"/>
      <c r="N388" s="17">
        <v>0</v>
      </c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0</v>
      </c>
      <c r="F389" s="17"/>
      <c r="G389" s="17">
        <v>0</v>
      </c>
      <c r="H389" s="16"/>
      <c r="I389" s="17">
        <v>0</v>
      </c>
      <c r="J389" s="17"/>
      <c r="K389" s="17">
        <v>0</v>
      </c>
      <c r="L389" s="17"/>
      <c r="M389" s="22">
        <v>0</v>
      </c>
      <c r="N389" s="17"/>
      <c r="O389" s="22">
        <v>0</v>
      </c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>
        <v>0</v>
      </c>
      <c r="I390" s="17"/>
      <c r="J390" s="17">
        <v>0</v>
      </c>
      <c r="K390" s="17"/>
      <c r="L390" s="17">
        <v>0</v>
      </c>
      <c r="M390" s="22"/>
      <c r="N390" s="17">
        <v>0</v>
      </c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0</v>
      </c>
      <c r="F391" s="17"/>
      <c r="G391" s="17">
        <v>0</v>
      </c>
      <c r="H391" s="16"/>
      <c r="I391" s="17">
        <v>0</v>
      </c>
      <c r="J391" s="17"/>
      <c r="K391" s="17">
        <v>0</v>
      </c>
      <c r="L391" s="17"/>
      <c r="M391" s="22">
        <v>0</v>
      </c>
      <c r="N391" s="17"/>
      <c r="O391" s="22">
        <v>0</v>
      </c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0</v>
      </c>
      <c r="E392" s="17"/>
      <c r="F392" s="17">
        <v>0</v>
      </c>
      <c r="G392" s="17"/>
      <c r="H392" s="16">
        <v>0</v>
      </c>
      <c r="I392" s="17"/>
      <c r="J392" s="17">
        <v>0</v>
      </c>
      <c r="K392" s="17"/>
      <c r="L392" s="17">
        <v>0</v>
      </c>
      <c r="M392" s="22"/>
      <c r="N392" s="17">
        <v>0</v>
      </c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0</v>
      </c>
      <c r="F393" s="17"/>
      <c r="G393" s="17">
        <v>0</v>
      </c>
      <c r="H393" s="16"/>
      <c r="I393" s="17">
        <v>0</v>
      </c>
      <c r="J393" s="17"/>
      <c r="K393" s="17">
        <v>0</v>
      </c>
      <c r="L393" s="17"/>
      <c r="M393" s="22">
        <v>0</v>
      </c>
      <c r="N393" s="17"/>
      <c r="O393" s="22">
        <v>0</v>
      </c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>
        <v>0</v>
      </c>
      <c r="I394" s="17"/>
      <c r="J394" s="17">
        <v>0</v>
      </c>
      <c r="K394" s="17"/>
      <c r="L394" s="17">
        <v>0</v>
      </c>
      <c r="M394" s="22"/>
      <c r="N394" s="17">
        <v>0</v>
      </c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>
        <v>0</v>
      </c>
      <c r="J395" s="17"/>
      <c r="K395" s="17">
        <v>0</v>
      </c>
      <c r="L395" s="17"/>
      <c r="M395" s="22">
        <v>0</v>
      </c>
      <c r="N395" s="17"/>
      <c r="O395" s="22">
        <v>0</v>
      </c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>
        <v>0</v>
      </c>
      <c r="I396" s="17"/>
      <c r="J396" s="17">
        <v>0</v>
      </c>
      <c r="K396" s="17"/>
      <c r="L396" s="17">
        <v>0</v>
      </c>
      <c r="M396" s="22"/>
      <c r="N396" s="17">
        <v>0</v>
      </c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>
        <v>0</v>
      </c>
      <c r="J397" s="17"/>
      <c r="K397" s="17">
        <v>0</v>
      </c>
      <c r="L397" s="17"/>
      <c r="M397" s="22">
        <v>0</v>
      </c>
      <c r="N397" s="17"/>
      <c r="O397" s="22">
        <v>0</v>
      </c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>
        <v>0</v>
      </c>
      <c r="I398" s="17"/>
      <c r="J398" s="17">
        <v>0</v>
      </c>
      <c r="K398" s="17"/>
      <c r="L398" s="17">
        <v>0</v>
      </c>
      <c r="M398" s="22"/>
      <c r="N398" s="17">
        <v>0</v>
      </c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>
        <v>0</v>
      </c>
      <c r="J399" s="17"/>
      <c r="K399" s="17">
        <v>0</v>
      </c>
      <c r="L399" s="17"/>
      <c r="M399" s="22">
        <v>0</v>
      </c>
      <c r="N399" s="17"/>
      <c r="O399" s="22">
        <v>0</v>
      </c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>
        <v>0</v>
      </c>
      <c r="I400" s="17"/>
      <c r="J400" s="17">
        <v>0</v>
      </c>
      <c r="K400" s="17"/>
      <c r="L400" s="17">
        <v>0</v>
      </c>
      <c r="M400" s="22"/>
      <c r="N400" s="17">
        <v>0</v>
      </c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>
        <v>0</v>
      </c>
      <c r="J401" s="17"/>
      <c r="K401" s="17">
        <v>0</v>
      </c>
      <c r="L401" s="17"/>
      <c r="M401" s="22">
        <v>0</v>
      </c>
      <c r="N401" s="17"/>
      <c r="O401" s="22">
        <v>0</v>
      </c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>
        <v>0</v>
      </c>
      <c r="I402" s="17"/>
      <c r="J402" s="17">
        <v>0</v>
      </c>
      <c r="K402" s="17"/>
      <c r="L402" s="17">
        <v>0</v>
      </c>
      <c r="M402" s="22"/>
      <c r="N402" s="17">
        <v>0</v>
      </c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>
        <v>0</v>
      </c>
      <c r="J403" s="17"/>
      <c r="K403" s="17">
        <v>0</v>
      </c>
      <c r="L403" s="17"/>
      <c r="M403" s="22">
        <v>0</v>
      </c>
      <c r="N403" s="17"/>
      <c r="O403" s="22">
        <v>0</v>
      </c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>
        <v>0</v>
      </c>
      <c r="I404" s="17"/>
      <c r="J404" s="17">
        <v>0</v>
      </c>
      <c r="K404" s="17"/>
      <c r="L404" s="17">
        <v>0</v>
      </c>
      <c r="M404" s="22"/>
      <c r="N404" s="17">
        <v>0</v>
      </c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>
        <v>0</v>
      </c>
      <c r="J405" s="17"/>
      <c r="K405" s="17">
        <v>0</v>
      </c>
      <c r="L405" s="17"/>
      <c r="M405" s="22">
        <v>0</v>
      </c>
      <c r="N405" s="17"/>
      <c r="O405" s="22">
        <v>0</v>
      </c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>
        <v>0</v>
      </c>
      <c r="I406" s="17"/>
      <c r="J406" s="17">
        <v>0</v>
      </c>
      <c r="K406" s="17"/>
      <c r="L406" s="17">
        <v>0</v>
      </c>
      <c r="M406" s="22"/>
      <c r="N406" s="17">
        <v>0</v>
      </c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0</v>
      </c>
      <c r="F407" s="17"/>
      <c r="G407" s="17">
        <v>0</v>
      </c>
      <c r="H407" s="16"/>
      <c r="I407" s="17">
        <v>0</v>
      </c>
      <c r="J407" s="17"/>
      <c r="K407" s="17">
        <v>0</v>
      </c>
      <c r="L407" s="17"/>
      <c r="M407" s="22">
        <v>0</v>
      </c>
      <c r="N407" s="17"/>
      <c r="O407" s="22">
        <v>0</v>
      </c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0</v>
      </c>
      <c r="E408" s="17"/>
      <c r="F408" s="17">
        <v>0</v>
      </c>
      <c r="G408" s="17"/>
      <c r="H408" s="16">
        <v>0</v>
      </c>
      <c r="I408" s="17"/>
      <c r="J408" s="17">
        <v>0</v>
      </c>
      <c r="K408" s="17"/>
      <c r="L408" s="17">
        <v>0</v>
      </c>
      <c r="M408" s="22"/>
      <c r="N408" s="17">
        <v>0</v>
      </c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0</v>
      </c>
      <c r="F409" s="17"/>
      <c r="G409" s="17">
        <v>0</v>
      </c>
      <c r="H409" s="16"/>
      <c r="I409" s="17">
        <v>0</v>
      </c>
      <c r="J409" s="17"/>
      <c r="K409" s="17">
        <v>0</v>
      </c>
      <c r="L409" s="17"/>
      <c r="M409" s="22">
        <v>0</v>
      </c>
      <c r="N409" s="17"/>
      <c r="O409" s="22">
        <v>0</v>
      </c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0</v>
      </c>
      <c r="E410" s="17"/>
      <c r="F410" s="17">
        <v>0</v>
      </c>
      <c r="G410" s="17"/>
      <c r="H410" s="16">
        <v>0</v>
      </c>
      <c r="I410" s="17"/>
      <c r="J410" s="17">
        <v>0</v>
      </c>
      <c r="K410" s="17"/>
      <c r="L410" s="17">
        <v>0</v>
      </c>
      <c r="M410" s="22"/>
      <c r="N410" s="17">
        <v>0</v>
      </c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0</v>
      </c>
      <c r="F411" s="17"/>
      <c r="G411" s="17">
        <v>0</v>
      </c>
      <c r="H411" s="16"/>
      <c r="I411" s="17">
        <v>0</v>
      </c>
      <c r="J411" s="17"/>
      <c r="K411" s="17">
        <v>0</v>
      </c>
      <c r="L411" s="17"/>
      <c r="M411" s="22">
        <v>0</v>
      </c>
      <c r="N411" s="17"/>
      <c r="O411" s="22">
        <v>0</v>
      </c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0</v>
      </c>
      <c r="E412" s="17"/>
      <c r="F412" s="17">
        <v>0</v>
      </c>
      <c r="G412" s="17"/>
      <c r="H412" s="16">
        <v>0</v>
      </c>
      <c r="I412" s="17"/>
      <c r="J412" s="17">
        <v>0</v>
      </c>
      <c r="K412" s="17"/>
      <c r="L412" s="17">
        <v>0</v>
      </c>
      <c r="M412" s="22"/>
      <c r="N412" s="17">
        <v>0</v>
      </c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0</v>
      </c>
      <c r="F413" s="17"/>
      <c r="G413" s="17">
        <v>0</v>
      </c>
      <c r="H413" s="16"/>
      <c r="I413" s="17">
        <v>0</v>
      </c>
      <c r="J413" s="17"/>
      <c r="K413" s="17">
        <v>0</v>
      </c>
      <c r="L413" s="17"/>
      <c r="M413" s="22">
        <v>0</v>
      </c>
      <c r="N413" s="17"/>
      <c r="O413" s="22">
        <v>0</v>
      </c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0</v>
      </c>
      <c r="E414" s="17"/>
      <c r="F414" s="17">
        <v>0</v>
      </c>
      <c r="G414" s="17"/>
      <c r="H414" s="16">
        <v>0</v>
      </c>
      <c r="I414" s="17"/>
      <c r="J414" s="17">
        <v>0</v>
      </c>
      <c r="K414" s="17"/>
      <c r="L414" s="17">
        <v>0</v>
      </c>
      <c r="M414" s="22"/>
      <c r="N414" s="17">
        <v>0</v>
      </c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0</v>
      </c>
      <c r="F415" s="17"/>
      <c r="G415" s="17">
        <v>0</v>
      </c>
      <c r="H415" s="16"/>
      <c r="I415" s="17">
        <v>0</v>
      </c>
      <c r="J415" s="17"/>
      <c r="K415" s="17">
        <v>0</v>
      </c>
      <c r="L415" s="17"/>
      <c r="M415" s="22">
        <v>0</v>
      </c>
      <c r="N415" s="17"/>
      <c r="O415" s="22">
        <v>0</v>
      </c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0</v>
      </c>
      <c r="E416" s="17"/>
      <c r="F416" s="17">
        <v>0</v>
      </c>
      <c r="G416" s="17"/>
      <c r="H416" s="16">
        <v>0</v>
      </c>
      <c r="I416" s="17"/>
      <c r="J416" s="17">
        <v>0</v>
      </c>
      <c r="K416" s="17"/>
      <c r="L416" s="17">
        <v>0</v>
      </c>
      <c r="M416" s="22"/>
      <c r="N416" s="17">
        <v>0</v>
      </c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0</v>
      </c>
      <c r="F417" s="17"/>
      <c r="G417" s="17">
        <v>0</v>
      </c>
      <c r="H417" s="16"/>
      <c r="I417" s="17">
        <v>0</v>
      </c>
      <c r="J417" s="17"/>
      <c r="K417" s="17">
        <v>0</v>
      </c>
      <c r="L417" s="17"/>
      <c r="M417" s="22">
        <v>0</v>
      </c>
      <c r="N417" s="17"/>
      <c r="O417" s="22">
        <v>0</v>
      </c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0</v>
      </c>
      <c r="E418" s="17"/>
      <c r="F418" s="17">
        <v>0</v>
      </c>
      <c r="G418" s="17"/>
      <c r="H418" s="16">
        <v>0</v>
      </c>
      <c r="I418" s="17"/>
      <c r="J418" s="17">
        <v>0</v>
      </c>
      <c r="K418" s="17"/>
      <c r="L418" s="17">
        <v>0</v>
      </c>
      <c r="M418" s="22"/>
      <c r="N418" s="17">
        <v>0</v>
      </c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0</v>
      </c>
      <c r="F419" s="17"/>
      <c r="G419" s="17">
        <v>0</v>
      </c>
      <c r="H419" s="16"/>
      <c r="I419" s="17">
        <v>0</v>
      </c>
      <c r="J419" s="17"/>
      <c r="K419" s="17">
        <v>0</v>
      </c>
      <c r="L419" s="17"/>
      <c r="M419" s="22">
        <v>0</v>
      </c>
      <c r="N419" s="17"/>
      <c r="O419" s="22">
        <v>0</v>
      </c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0</v>
      </c>
      <c r="E420" s="17"/>
      <c r="F420" s="17">
        <v>0</v>
      </c>
      <c r="G420" s="17"/>
      <c r="H420" s="16">
        <v>0</v>
      </c>
      <c r="I420" s="17"/>
      <c r="J420" s="17">
        <v>0</v>
      </c>
      <c r="K420" s="17"/>
      <c r="L420" s="17">
        <v>0</v>
      </c>
      <c r="M420" s="22"/>
      <c r="N420" s="17">
        <v>0</v>
      </c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0</v>
      </c>
      <c r="F421" s="17"/>
      <c r="G421" s="17">
        <v>0</v>
      </c>
      <c r="H421" s="16"/>
      <c r="I421" s="17">
        <v>0</v>
      </c>
      <c r="J421" s="17"/>
      <c r="K421" s="17">
        <v>0</v>
      </c>
      <c r="L421" s="17"/>
      <c r="M421" s="22">
        <v>0</v>
      </c>
      <c r="N421" s="17"/>
      <c r="O421" s="22">
        <v>0</v>
      </c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0</v>
      </c>
      <c r="E422" s="17"/>
      <c r="F422" s="17">
        <v>0</v>
      </c>
      <c r="G422" s="17"/>
      <c r="H422" s="16">
        <v>0</v>
      </c>
      <c r="I422" s="17"/>
      <c r="J422" s="17">
        <v>0</v>
      </c>
      <c r="K422" s="17"/>
      <c r="L422" s="17">
        <v>0</v>
      </c>
      <c r="M422" s="22"/>
      <c r="N422" s="17">
        <v>0</v>
      </c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0</v>
      </c>
      <c r="F423" s="17"/>
      <c r="G423" s="17">
        <v>0</v>
      </c>
      <c r="H423" s="16"/>
      <c r="I423" s="17">
        <v>0</v>
      </c>
      <c r="J423" s="17"/>
      <c r="K423" s="17">
        <v>0</v>
      </c>
      <c r="L423" s="17"/>
      <c r="M423" s="22">
        <v>0</v>
      </c>
      <c r="N423" s="17"/>
      <c r="O423" s="22">
        <v>0</v>
      </c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>
        <v>0</v>
      </c>
      <c r="I424" s="17"/>
      <c r="J424" s="17">
        <v>0</v>
      </c>
      <c r="K424" s="17"/>
      <c r="L424" s="17">
        <v>0</v>
      </c>
      <c r="M424" s="22"/>
      <c r="N424" s="17">
        <v>0</v>
      </c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0</v>
      </c>
      <c r="F425" s="17"/>
      <c r="G425" s="17">
        <v>0</v>
      </c>
      <c r="H425" s="16"/>
      <c r="I425" s="17">
        <v>0</v>
      </c>
      <c r="J425" s="17"/>
      <c r="K425" s="17">
        <v>0</v>
      </c>
      <c r="L425" s="17"/>
      <c r="M425" s="22">
        <v>0</v>
      </c>
      <c r="N425" s="17"/>
      <c r="O425" s="22">
        <v>0</v>
      </c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0</v>
      </c>
      <c r="E426" s="17"/>
      <c r="F426" s="17">
        <v>0</v>
      </c>
      <c r="G426" s="17"/>
      <c r="H426" s="16">
        <v>0</v>
      </c>
      <c r="I426" s="17"/>
      <c r="J426" s="17">
        <v>0</v>
      </c>
      <c r="K426" s="17"/>
      <c r="L426" s="17">
        <v>0</v>
      </c>
      <c r="M426" s="22"/>
      <c r="N426" s="17">
        <v>0</v>
      </c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0</v>
      </c>
      <c r="F427" s="17"/>
      <c r="G427" s="17">
        <v>0</v>
      </c>
      <c r="H427" s="16"/>
      <c r="I427" s="17">
        <v>0</v>
      </c>
      <c r="J427" s="17"/>
      <c r="K427" s="17">
        <v>0</v>
      </c>
      <c r="L427" s="17"/>
      <c r="M427" s="22">
        <v>0</v>
      </c>
      <c r="N427" s="17"/>
      <c r="O427" s="22">
        <v>0</v>
      </c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0</v>
      </c>
      <c r="E428" s="17"/>
      <c r="F428" s="17">
        <v>0</v>
      </c>
      <c r="G428" s="17"/>
      <c r="H428" s="16">
        <v>0</v>
      </c>
      <c r="I428" s="17"/>
      <c r="J428" s="17">
        <v>0</v>
      </c>
      <c r="K428" s="17"/>
      <c r="L428" s="17">
        <v>0</v>
      </c>
      <c r="M428" s="22"/>
      <c r="N428" s="17">
        <v>0</v>
      </c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0</v>
      </c>
      <c r="F429" s="17"/>
      <c r="G429" s="17">
        <v>0</v>
      </c>
      <c r="H429" s="16"/>
      <c r="I429" s="17">
        <v>0</v>
      </c>
      <c r="J429" s="17"/>
      <c r="K429" s="17">
        <v>0</v>
      </c>
      <c r="L429" s="17"/>
      <c r="M429" s="22">
        <v>0</v>
      </c>
      <c r="N429" s="17"/>
      <c r="O429" s="22">
        <v>0</v>
      </c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>
        <v>0</v>
      </c>
      <c r="I430" s="17"/>
      <c r="J430" s="17">
        <v>0</v>
      </c>
      <c r="K430" s="17"/>
      <c r="L430" s="17">
        <v>0</v>
      </c>
      <c r="M430" s="22"/>
      <c r="N430" s="17">
        <v>0</v>
      </c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>
        <v>0</v>
      </c>
      <c r="J431" s="17"/>
      <c r="K431" s="17">
        <v>0</v>
      </c>
      <c r="L431" s="17"/>
      <c r="M431" s="22">
        <v>0</v>
      </c>
      <c r="N431" s="17"/>
      <c r="O431" s="22">
        <v>0</v>
      </c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>
        <v>0</v>
      </c>
      <c r="I432" s="17"/>
      <c r="J432" s="17">
        <v>0</v>
      </c>
      <c r="K432" s="17"/>
      <c r="L432" s="17">
        <v>0</v>
      </c>
      <c r="M432" s="22"/>
      <c r="N432" s="17">
        <v>0</v>
      </c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>
        <v>0</v>
      </c>
      <c r="J433" s="17"/>
      <c r="K433" s="17">
        <v>0</v>
      </c>
      <c r="L433" s="17"/>
      <c r="M433" s="22">
        <v>0</v>
      </c>
      <c r="N433" s="17"/>
      <c r="O433" s="22">
        <v>0</v>
      </c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>
        <v>0</v>
      </c>
      <c r="I434" s="17"/>
      <c r="J434" s="17">
        <v>0</v>
      </c>
      <c r="K434" s="17"/>
      <c r="L434" s="17">
        <v>0</v>
      </c>
      <c r="M434" s="22"/>
      <c r="N434" s="17">
        <v>0</v>
      </c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>
        <v>0</v>
      </c>
      <c r="J435" s="17"/>
      <c r="K435" s="17">
        <v>0</v>
      </c>
      <c r="L435" s="17"/>
      <c r="M435" s="22">
        <v>0</v>
      </c>
      <c r="N435" s="17"/>
      <c r="O435" s="22">
        <v>0</v>
      </c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>
        <v>0</v>
      </c>
      <c r="I436" s="17"/>
      <c r="J436" s="17">
        <v>0</v>
      </c>
      <c r="K436" s="17"/>
      <c r="L436" s="17">
        <v>0</v>
      </c>
      <c r="M436" s="22"/>
      <c r="N436" s="17">
        <v>0</v>
      </c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>
        <v>0</v>
      </c>
      <c r="J437" s="17"/>
      <c r="K437" s="17">
        <v>0</v>
      </c>
      <c r="L437" s="17"/>
      <c r="M437" s="22">
        <v>0</v>
      </c>
      <c r="N437" s="17"/>
      <c r="O437" s="22">
        <v>0</v>
      </c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>
        <v>0</v>
      </c>
      <c r="I438" s="17"/>
      <c r="J438" s="17">
        <v>0</v>
      </c>
      <c r="K438" s="17"/>
      <c r="L438" s="17">
        <v>0</v>
      </c>
      <c r="M438" s="22"/>
      <c r="N438" s="17">
        <v>0</v>
      </c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>
        <v>0</v>
      </c>
      <c r="J439" s="17"/>
      <c r="K439" s="17">
        <v>0</v>
      </c>
      <c r="L439" s="17"/>
      <c r="M439" s="22">
        <v>0</v>
      </c>
      <c r="N439" s="17"/>
      <c r="O439" s="22">
        <v>0</v>
      </c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>
        <v>0</v>
      </c>
      <c r="I440" s="17"/>
      <c r="J440" s="17">
        <v>0</v>
      </c>
      <c r="K440" s="17"/>
      <c r="L440" s="17">
        <v>0</v>
      </c>
      <c r="M440" s="22"/>
      <c r="N440" s="17">
        <v>0</v>
      </c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>
        <v>0</v>
      </c>
      <c r="J441" s="17"/>
      <c r="K441" s="17">
        <v>0</v>
      </c>
      <c r="L441" s="17"/>
      <c r="M441" s="22">
        <v>0</v>
      </c>
      <c r="N441" s="17"/>
      <c r="O441" s="22">
        <v>0</v>
      </c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>
        <v>0</v>
      </c>
      <c r="I442" s="17"/>
      <c r="J442" s="17">
        <v>0</v>
      </c>
      <c r="K442" s="17"/>
      <c r="L442" s="17">
        <v>0</v>
      </c>
      <c r="M442" s="22"/>
      <c r="N442" s="17">
        <v>0</v>
      </c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0</v>
      </c>
      <c r="F443" s="17"/>
      <c r="G443" s="17">
        <v>0</v>
      </c>
      <c r="H443" s="16"/>
      <c r="I443" s="17">
        <v>0</v>
      </c>
      <c r="J443" s="17"/>
      <c r="K443" s="17">
        <v>0</v>
      </c>
      <c r="L443" s="17"/>
      <c r="M443" s="22">
        <v>0</v>
      </c>
      <c r="N443" s="17"/>
      <c r="O443" s="22">
        <v>0</v>
      </c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0</v>
      </c>
      <c r="E444" s="17"/>
      <c r="F444" s="17">
        <v>0</v>
      </c>
      <c r="G444" s="17"/>
      <c r="H444" s="16">
        <v>0</v>
      </c>
      <c r="I444" s="17"/>
      <c r="J444" s="17">
        <v>0</v>
      </c>
      <c r="K444" s="17"/>
      <c r="L444" s="17">
        <v>0</v>
      </c>
      <c r="M444" s="22"/>
      <c r="N444" s="17">
        <v>0</v>
      </c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0</v>
      </c>
      <c r="F445" s="17"/>
      <c r="G445" s="17">
        <v>0</v>
      </c>
      <c r="H445" s="16"/>
      <c r="I445" s="17">
        <v>0</v>
      </c>
      <c r="J445" s="17"/>
      <c r="K445" s="17">
        <v>0</v>
      </c>
      <c r="L445" s="17"/>
      <c r="M445" s="22">
        <v>0</v>
      </c>
      <c r="N445" s="17"/>
      <c r="O445" s="22">
        <v>0</v>
      </c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0</v>
      </c>
      <c r="E446" s="17"/>
      <c r="F446" s="17">
        <v>0</v>
      </c>
      <c r="G446" s="17"/>
      <c r="H446" s="16">
        <v>0</v>
      </c>
      <c r="I446" s="17"/>
      <c r="J446" s="17">
        <v>0</v>
      </c>
      <c r="K446" s="17"/>
      <c r="L446" s="17">
        <v>0</v>
      </c>
      <c r="M446" s="22"/>
      <c r="N446" s="17">
        <v>0</v>
      </c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0</v>
      </c>
      <c r="F447" s="17"/>
      <c r="G447" s="17">
        <v>0</v>
      </c>
      <c r="H447" s="16"/>
      <c r="I447" s="17">
        <v>0</v>
      </c>
      <c r="J447" s="17"/>
      <c r="K447" s="17">
        <v>0</v>
      </c>
      <c r="L447" s="17"/>
      <c r="M447" s="22">
        <v>0</v>
      </c>
      <c r="N447" s="17"/>
      <c r="O447" s="22">
        <v>0</v>
      </c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>
        <v>0</v>
      </c>
      <c r="I448" s="17"/>
      <c r="J448" s="17">
        <v>0</v>
      </c>
      <c r="K448" s="17"/>
      <c r="L448" s="17">
        <v>0</v>
      </c>
      <c r="M448" s="22"/>
      <c r="N448" s="17">
        <v>0</v>
      </c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>
        <v>0</v>
      </c>
      <c r="J449" s="17"/>
      <c r="K449" s="17">
        <v>0</v>
      </c>
      <c r="L449" s="17"/>
      <c r="M449" s="22">
        <v>0</v>
      </c>
      <c r="N449" s="17"/>
      <c r="O449" s="22">
        <v>0</v>
      </c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>
        <v>0</v>
      </c>
      <c r="I450" s="17"/>
      <c r="J450" s="17">
        <v>0</v>
      </c>
      <c r="K450" s="17"/>
      <c r="L450" s="17">
        <v>0</v>
      </c>
      <c r="M450" s="22"/>
      <c r="N450" s="17">
        <v>0</v>
      </c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>
        <v>0</v>
      </c>
      <c r="J451" s="17"/>
      <c r="K451" s="17">
        <v>0</v>
      </c>
      <c r="L451" s="17"/>
      <c r="M451" s="22">
        <v>0</v>
      </c>
      <c r="N451" s="17"/>
      <c r="O451" s="22">
        <v>0</v>
      </c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>
        <v>0</v>
      </c>
      <c r="I452" s="17"/>
      <c r="J452" s="17">
        <v>0</v>
      </c>
      <c r="K452" s="17"/>
      <c r="L452" s="17">
        <v>0</v>
      </c>
      <c r="M452" s="22"/>
      <c r="N452" s="17">
        <v>0</v>
      </c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>
        <v>0</v>
      </c>
      <c r="J453" s="17"/>
      <c r="K453" s="17">
        <v>0</v>
      </c>
      <c r="L453" s="17"/>
      <c r="M453" s="22">
        <v>0</v>
      </c>
      <c r="N453" s="17"/>
      <c r="O453" s="22">
        <v>0</v>
      </c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>
        <v>0</v>
      </c>
      <c r="I454" s="17"/>
      <c r="J454" s="17">
        <v>0</v>
      </c>
      <c r="K454" s="17"/>
      <c r="L454" s="17">
        <v>0</v>
      </c>
      <c r="M454" s="22"/>
      <c r="N454" s="17">
        <v>0</v>
      </c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>
        <v>0</v>
      </c>
      <c r="J455" s="17"/>
      <c r="K455" s="17">
        <v>0</v>
      </c>
      <c r="L455" s="17"/>
      <c r="M455" s="22">
        <v>0</v>
      </c>
      <c r="N455" s="17"/>
      <c r="O455" s="22">
        <v>0</v>
      </c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>
        <v>0</v>
      </c>
      <c r="I456" s="17"/>
      <c r="J456" s="17">
        <v>0</v>
      </c>
      <c r="K456" s="17"/>
      <c r="L456" s="17">
        <v>0</v>
      </c>
      <c r="M456" s="22"/>
      <c r="N456" s="17">
        <v>0</v>
      </c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>
        <v>0</v>
      </c>
      <c r="J457" s="17"/>
      <c r="K457" s="17">
        <v>0</v>
      </c>
      <c r="L457" s="17"/>
      <c r="M457" s="22">
        <v>0</v>
      </c>
      <c r="N457" s="17"/>
      <c r="O457" s="22">
        <v>0</v>
      </c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>
        <v>0</v>
      </c>
      <c r="I458" s="17"/>
      <c r="J458" s="17">
        <v>0</v>
      </c>
      <c r="K458" s="17"/>
      <c r="L458" s="17">
        <v>0</v>
      </c>
      <c r="M458" s="22"/>
      <c r="N458" s="17">
        <v>0</v>
      </c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>
        <v>0</v>
      </c>
      <c r="J459" s="17"/>
      <c r="K459" s="17">
        <v>0</v>
      </c>
      <c r="L459" s="17"/>
      <c r="M459" s="22">
        <v>0</v>
      </c>
      <c r="N459" s="17"/>
      <c r="O459" s="22">
        <v>0</v>
      </c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>
        <v>0</v>
      </c>
      <c r="I460" s="17"/>
      <c r="J460" s="17">
        <v>0</v>
      </c>
      <c r="K460" s="17"/>
      <c r="L460" s="17">
        <v>0</v>
      </c>
      <c r="M460" s="22"/>
      <c r="N460" s="17">
        <v>0</v>
      </c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0</v>
      </c>
      <c r="F461" s="17"/>
      <c r="G461" s="17">
        <v>0</v>
      </c>
      <c r="H461" s="16"/>
      <c r="I461" s="17">
        <v>0</v>
      </c>
      <c r="J461" s="17"/>
      <c r="K461" s="17">
        <v>0</v>
      </c>
      <c r="L461" s="17"/>
      <c r="M461" s="22">
        <v>0</v>
      </c>
      <c r="N461" s="17"/>
      <c r="O461" s="22">
        <v>0</v>
      </c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0</v>
      </c>
      <c r="E462" s="17"/>
      <c r="F462" s="17">
        <v>0</v>
      </c>
      <c r="G462" s="17"/>
      <c r="H462" s="16">
        <v>0</v>
      </c>
      <c r="I462" s="17"/>
      <c r="J462" s="17">
        <v>0</v>
      </c>
      <c r="K462" s="17"/>
      <c r="L462" s="17">
        <v>0</v>
      </c>
      <c r="M462" s="22"/>
      <c r="N462" s="17">
        <v>0</v>
      </c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0</v>
      </c>
      <c r="F463" s="17"/>
      <c r="G463" s="17">
        <v>0</v>
      </c>
      <c r="H463" s="16"/>
      <c r="I463" s="17">
        <v>0</v>
      </c>
      <c r="J463" s="17"/>
      <c r="K463" s="17">
        <v>0</v>
      </c>
      <c r="L463" s="17"/>
      <c r="M463" s="22">
        <v>0</v>
      </c>
      <c r="N463" s="17"/>
      <c r="O463" s="22">
        <v>0</v>
      </c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>
        <v>0</v>
      </c>
      <c r="I464" s="17"/>
      <c r="J464" s="17">
        <v>0</v>
      </c>
      <c r="K464" s="17"/>
      <c r="L464" s="17">
        <v>0</v>
      </c>
      <c r="M464" s="22"/>
      <c r="N464" s="17">
        <v>0</v>
      </c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>
        <v>0</v>
      </c>
      <c r="J465" s="17"/>
      <c r="K465" s="17">
        <v>0</v>
      </c>
      <c r="L465" s="17"/>
      <c r="M465" s="22">
        <v>0</v>
      </c>
      <c r="N465" s="17"/>
      <c r="O465" s="22">
        <v>0</v>
      </c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>
        <v>0</v>
      </c>
      <c r="I466" s="17"/>
      <c r="J466" s="17">
        <v>0</v>
      </c>
      <c r="K466" s="17"/>
      <c r="L466" s="17">
        <v>0</v>
      </c>
      <c r="M466" s="22"/>
      <c r="N466" s="17">
        <v>0</v>
      </c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>
        <v>0</v>
      </c>
      <c r="J467" s="17"/>
      <c r="K467" s="17">
        <v>0</v>
      </c>
      <c r="L467" s="17"/>
      <c r="M467" s="22">
        <v>0</v>
      </c>
      <c r="N467" s="17"/>
      <c r="O467" s="22">
        <v>0</v>
      </c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>
        <v>0</v>
      </c>
      <c r="I468" s="17"/>
      <c r="J468" s="17">
        <v>0</v>
      </c>
      <c r="K468" s="17"/>
      <c r="L468" s="17">
        <v>0</v>
      </c>
      <c r="M468" s="22"/>
      <c r="N468" s="17">
        <v>0</v>
      </c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>
        <v>0</v>
      </c>
      <c r="J469" s="17"/>
      <c r="K469" s="17">
        <v>0</v>
      </c>
      <c r="L469" s="17"/>
      <c r="M469" s="22">
        <v>0</v>
      </c>
      <c r="N469" s="17"/>
      <c r="O469" s="22">
        <v>0</v>
      </c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>
        <v>0</v>
      </c>
      <c r="I470" s="17"/>
      <c r="J470" s="17">
        <v>0</v>
      </c>
      <c r="K470" s="17"/>
      <c r="L470" s="17">
        <v>0</v>
      </c>
      <c r="M470" s="22"/>
      <c r="N470" s="17">
        <v>0</v>
      </c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>
        <v>0</v>
      </c>
      <c r="J471" s="17"/>
      <c r="K471" s="17">
        <v>0</v>
      </c>
      <c r="L471" s="17"/>
      <c r="M471" s="22">
        <v>0</v>
      </c>
      <c r="N471" s="17"/>
      <c r="O471" s="22">
        <v>0</v>
      </c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>
        <v>0</v>
      </c>
      <c r="I472" s="17"/>
      <c r="J472" s="17">
        <v>0</v>
      </c>
      <c r="K472" s="17"/>
      <c r="L472" s="17">
        <v>0</v>
      </c>
      <c r="M472" s="22"/>
      <c r="N472" s="17">
        <v>0</v>
      </c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>
        <v>0</v>
      </c>
      <c r="J473" s="17"/>
      <c r="K473" s="17">
        <v>0</v>
      </c>
      <c r="L473" s="17"/>
      <c r="M473" s="22">
        <v>0</v>
      </c>
      <c r="N473" s="17"/>
      <c r="O473" s="22">
        <v>0</v>
      </c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>
        <v>0</v>
      </c>
      <c r="I474" s="17"/>
      <c r="J474" s="17">
        <v>0</v>
      </c>
      <c r="K474" s="17"/>
      <c r="L474" s="17">
        <v>0</v>
      </c>
      <c r="M474" s="22"/>
      <c r="N474" s="17">
        <v>0</v>
      </c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>
        <v>0</v>
      </c>
      <c r="J475" s="17"/>
      <c r="K475" s="17">
        <v>0</v>
      </c>
      <c r="L475" s="17"/>
      <c r="M475" s="22">
        <v>0</v>
      </c>
      <c r="N475" s="17"/>
      <c r="O475" s="22">
        <v>0</v>
      </c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>
        <v>0</v>
      </c>
      <c r="I476" s="17"/>
      <c r="J476" s="17">
        <v>0</v>
      </c>
      <c r="K476" s="17"/>
      <c r="L476" s="17">
        <v>0</v>
      </c>
      <c r="M476" s="22"/>
      <c r="N476" s="17">
        <v>0</v>
      </c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1143.38</v>
      </c>
      <c r="F477" s="17"/>
      <c r="G477" s="17">
        <v>295.88</v>
      </c>
      <c r="H477" s="16"/>
      <c r="I477" s="17">
        <v>1143.38</v>
      </c>
      <c r="J477" s="17"/>
      <c r="K477" s="17">
        <v>295.88</v>
      </c>
      <c r="L477" s="17"/>
      <c r="M477" s="22">
        <v>1143.38</v>
      </c>
      <c r="N477" s="17"/>
      <c r="O477" s="22">
        <v>295.88</v>
      </c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91.47</v>
      </c>
      <c r="E478" s="17"/>
      <c r="F478" s="17">
        <v>23.67</v>
      </c>
      <c r="G478" s="17"/>
      <c r="H478" s="16">
        <v>91.47</v>
      </c>
      <c r="I478" s="17"/>
      <c r="J478" s="17">
        <v>23.67</v>
      </c>
      <c r="K478" s="17"/>
      <c r="L478" s="17">
        <v>91.47</v>
      </c>
      <c r="M478" s="22"/>
      <c r="N478" s="17">
        <v>23.67</v>
      </c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2332.75</v>
      </c>
      <c r="F479" s="17"/>
      <c r="G479" s="17">
        <v>666.63</v>
      </c>
      <c r="H479" s="16"/>
      <c r="I479" s="17">
        <v>2332.75</v>
      </c>
      <c r="J479" s="17"/>
      <c r="K479" s="17">
        <v>666.63</v>
      </c>
      <c r="L479" s="17"/>
      <c r="M479" s="22">
        <v>2332.75</v>
      </c>
      <c r="N479" s="17"/>
      <c r="O479" s="22">
        <v>666.63</v>
      </c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95.15</v>
      </c>
      <c r="E480" s="17"/>
      <c r="F480" s="17">
        <v>29.66</v>
      </c>
      <c r="G480" s="17"/>
      <c r="H480" s="16">
        <v>95.15</v>
      </c>
      <c r="I480" s="17"/>
      <c r="J480" s="17">
        <v>29.66</v>
      </c>
      <c r="K480" s="17"/>
      <c r="L480" s="17">
        <v>95.15</v>
      </c>
      <c r="M480" s="22"/>
      <c r="N480" s="17">
        <v>29.66</v>
      </c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2330.5</v>
      </c>
      <c r="F481" s="17"/>
      <c r="G481" s="24">
        <v>754</v>
      </c>
      <c r="H481" s="16"/>
      <c r="I481" s="24">
        <v>2330.5</v>
      </c>
      <c r="J481" s="17"/>
      <c r="K481" s="24">
        <v>754</v>
      </c>
      <c r="L481" s="17"/>
      <c r="M481" s="24">
        <v>2330.5</v>
      </c>
      <c r="N481" s="17"/>
      <c r="O481" s="24">
        <v>754</v>
      </c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91.29</v>
      </c>
      <c r="E482" s="26"/>
      <c r="F482" s="17">
        <v>30.66</v>
      </c>
      <c r="G482" s="26"/>
      <c r="H482" s="16">
        <v>91.29</v>
      </c>
      <c r="I482" s="26"/>
      <c r="J482" s="17">
        <v>30.66</v>
      </c>
      <c r="K482" s="26"/>
      <c r="L482" s="17">
        <v>91.29</v>
      </c>
      <c r="M482" s="26"/>
      <c r="N482" s="17">
        <v>30.66</v>
      </c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2221.88</v>
      </c>
      <c r="F483" s="17"/>
      <c r="G483" s="17">
        <v>739.25</v>
      </c>
      <c r="H483" s="16"/>
      <c r="I483" s="17">
        <v>2221.88</v>
      </c>
      <c r="J483" s="17"/>
      <c r="K483" s="17">
        <v>739.25</v>
      </c>
      <c r="L483" s="17"/>
      <c r="M483" s="22">
        <v>2221.88</v>
      </c>
      <c r="N483" s="17"/>
      <c r="O483" s="22">
        <v>739.25</v>
      </c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86.46</v>
      </c>
      <c r="E484" s="17"/>
      <c r="F484" s="17">
        <v>28.48</v>
      </c>
      <c r="G484" s="17"/>
      <c r="H484" s="16">
        <v>86.46</v>
      </c>
      <c r="I484" s="17"/>
      <c r="J484" s="17">
        <v>28.48</v>
      </c>
      <c r="K484" s="17"/>
      <c r="L484" s="17">
        <v>86.46</v>
      </c>
      <c r="M484" s="22"/>
      <c r="N484" s="17">
        <v>28.48</v>
      </c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2094.38</v>
      </c>
      <c r="F485" s="17"/>
      <c r="G485" s="17">
        <v>664</v>
      </c>
      <c r="H485" s="16"/>
      <c r="I485" s="17">
        <v>2094.38</v>
      </c>
      <c r="J485" s="17"/>
      <c r="K485" s="17">
        <v>664</v>
      </c>
      <c r="L485" s="17"/>
      <c r="M485" s="22">
        <v>2094.38</v>
      </c>
      <c r="N485" s="17"/>
      <c r="O485" s="22">
        <v>664</v>
      </c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81.09</v>
      </c>
      <c r="E486" s="17"/>
      <c r="F486" s="17">
        <v>24.64</v>
      </c>
      <c r="G486" s="17"/>
      <c r="H486" s="16">
        <v>81.09</v>
      </c>
      <c r="I486" s="17"/>
      <c r="J486" s="17">
        <v>24.64</v>
      </c>
      <c r="K486" s="17"/>
      <c r="L486" s="17">
        <v>81.09</v>
      </c>
      <c r="M486" s="22"/>
      <c r="N486" s="17">
        <v>24.64</v>
      </c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2025.13</v>
      </c>
      <c r="F487" s="17"/>
      <c r="G487" s="17">
        <v>583.88</v>
      </c>
      <c r="H487" s="16"/>
      <c r="I487" s="17">
        <v>2025.13</v>
      </c>
      <c r="J487" s="17"/>
      <c r="K487" s="17">
        <v>583.88</v>
      </c>
      <c r="L487" s="17"/>
      <c r="M487" s="22">
        <v>2025.13</v>
      </c>
      <c r="N487" s="17"/>
      <c r="O487" s="22">
        <v>583.88</v>
      </c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80.92</v>
      </c>
      <c r="E488" s="17"/>
      <c r="F488" s="17">
        <v>22.07</v>
      </c>
      <c r="G488" s="17"/>
      <c r="H488" s="16">
        <v>80.92</v>
      </c>
      <c r="I488" s="17"/>
      <c r="J488" s="17">
        <v>22.07</v>
      </c>
      <c r="K488" s="17"/>
      <c r="L488" s="17">
        <v>80.92</v>
      </c>
      <c r="M488" s="22"/>
      <c r="N488" s="17">
        <v>22.07</v>
      </c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1723.75</v>
      </c>
      <c r="F489" s="17"/>
      <c r="G489" s="17">
        <v>505</v>
      </c>
      <c r="H489" s="16"/>
      <c r="I489" s="17">
        <v>1723.75</v>
      </c>
      <c r="J489" s="17"/>
      <c r="K489" s="17">
        <v>505</v>
      </c>
      <c r="L489" s="17"/>
      <c r="M489" s="22">
        <v>1723.75</v>
      </c>
      <c r="N489" s="17"/>
      <c r="O489" s="22">
        <v>505</v>
      </c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56.98</v>
      </c>
      <c r="E490" s="17"/>
      <c r="F490" s="17">
        <v>18.33</v>
      </c>
      <c r="G490" s="17"/>
      <c r="H490" s="16">
        <v>56.98</v>
      </c>
      <c r="I490" s="17"/>
      <c r="J490" s="17">
        <v>18.33</v>
      </c>
      <c r="K490" s="17"/>
      <c r="L490" s="17">
        <v>56.98</v>
      </c>
      <c r="M490" s="22"/>
      <c r="N490" s="17">
        <v>18.33</v>
      </c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1235.75</v>
      </c>
      <c r="F491" s="17"/>
      <c r="G491" s="17">
        <v>442.13</v>
      </c>
      <c r="H491" s="16"/>
      <c r="I491" s="17">
        <v>1235.75</v>
      </c>
      <c r="J491" s="17"/>
      <c r="K491" s="17">
        <v>442.13</v>
      </c>
      <c r="L491" s="17"/>
      <c r="M491" s="22">
        <v>1235.75</v>
      </c>
      <c r="N491" s="17"/>
      <c r="O491" s="22">
        <v>442.13</v>
      </c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41.88</v>
      </c>
      <c r="E492" s="17"/>
      <c r="F492" s="17">
        <v>17.04</v>
      </c>
      <c r="G492" s="17"/>
      <c r="H492" s="16">
        <v>41.88</v>
      </c>
      <c r="I492" s="17"/>
      <c r="J492" s="17">
        <v>17.04</v>
      </c>
      <c r="K492" s="17"/>
      <c r="L492" s="17">
        <v>41.88</v>
      </c>
      <c r="M492" s="22"/>
      <c r="N492" s="17">
        <v>17.04</v>
      </c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807.75</v>
      </c>
      <c r="F493" s="17"/>
      <c r="G493" s="17">
        <v>385.75</v>
      </c>
      <c r="H493" s="16"/>
      <c r="I493" s="17">
        <v>807.75</v>
      </c>
      <c r="J493" s="17"/>
      <c r="K493" s="17">
        <v>385.75</v>
      </c>
      <c r="L493" s="17"/>
      <c r="M493" s="22">
        <v>807.75</v>
      </c>
      <c r="N493" s="17"/>
      <c r="O493" s="22">
        <v>385.75</v>
      </c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22.74</v>
      </c>
      <c r="E494" s="17"/>
      <c r="F494" s="17">
        <v>13.82</v>
      </c>
      <c r="G494" s="17"/>
      <c r="H494" s="16">
        <v>22.74</v>
      </c>
      <c r="I494" s="17"/>
      <c r="J494" s="17">
        <v>13.82</v>
      </c>
      <c r="K494" s="17"/>
      <c r="L494" s="17">
        <v>22.74</v>
      </c>
      <c r="M494" s="22"/>
      <c r="N494" s="17">
        <v>13.82</v>
      </c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476.13</v>
      </c>
      <c r="F495" s="17"/>
      <c r="G495" s="17">
        <v>297.13</v>
      </c>
      <c r="H495" s="16"/>
      <c r="I495" s="17">
        <v>476.13</v>
      </c>
      <c r="J495" s="17"/>
      <c r="K495" s="17">
        <v>297.13</v>
      </c>
      <c r="L495" s="17"/>
      <c r="M495" s="22">
        <v>476.13</v>
      </c>
      <c r="N495" s="17"/>
      <c r="O495" s="22">
        <v>297.13</v>
      </c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15.35</v>
      </c>
      <c r="E496" s="17"/>
      <c r="F496" s="17">
        <v>9.95</v>
      </c>
      <c r="G496" s="17"/>
      <c r="H496" s="16">
        <v>15.35</v>
      </c>
      <c r="I496" s="17"/>
      <c r="J496" s="17">
        <v>9.95</v>
      </c>
      <c r="K496" s="17"/>
      <c r="L496" s="17">
        <v>15.35</v>
      </c>
      <c r="M496" s="22"/>
      <c r="N496" s="17">
        <v>9.95</v>
      </c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191.88</v>
      </c>
      <c r="F497" s="17"/>
      <c r="G497" s="17">
        <v>124.38</v>
      </c>
      <c r="H497" s="16"/>
      <c r="I497" s="17">
        <v>191.88</v>
      </c>
      <c r="J497" s="17"/>
      <c r="K497" s="17">
        <v>124.38</v>
      </c>
      <c r="L497" s="17"/>
      <c r="M497" s="22">
        <v>191.88</v>
      </c>
      <c r="N497" s="17"/>
      <c r="O497" s="22">
        <v>124.38</v>
      </c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>
        <v>0</v>
      </c>
      <c r="I498" s="17"/>
      <c r="J498" s="17">
        <v>0</v>
      </c>
      <c r="K498" s="17"/>
      <c r="L498" s="17">
        <v>0</v>
      </c>
      <c r="M498" s="22"/>
      <c r="N498" s="17">
        <v>0</v>
      </c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1"/>
      <c r="E500" s="31">
        <f t="shared" ref="E500:I500" si="81">SUM(E10:E499)</f>
        <v>60515.1</v>
      </c>
      <c r="F500" s="31"/>
      <c r="G500" s="31">
        <f t="shared" si="81"/>
        <v>6052.53</v>
      </c>
      <c r="H500" s="31"/>
      <c r="I500" s="31">
        <f t="shared" si="81"/>
        <v>51177.47</v>
      </c>
      <c r="J500" s="31"/>
      <c r="K500" s="31">
        <f>SUM(K10:K499)</f>
        <v>6052.53</v>
      </c>
      <c r="L500" s="30"/>
      <c r="M500" s="31">
        <f>SUM(M10:M499)</f>
        <v>50932.47</v>
      </c>
      <c r="N500" s="30"/>
      <c r="O500" s="31">
        <f>SUM(O10:O499)</f>
        <v>6052.53</v>
      </c>
      <c r="P500" s="31">
        <f>SUM(P10:P499)</f>
        <v>245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281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P509"/>
  <sheetViews>
    <sheetView view="pageBreakPreview" zoomScaleNormal="100" workbookViewId="0">
      <pane xSplit="2" ySplit="9" topLeftCell="C478" activePane="bottomRight" state="frozen"/>
      <selection/>
      <selection pane="topRight"/>
      <selection pane="bottomLeft"/>
      <selection pane="bottomRight" activeCell="U500" sqref="U500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8" customWidth="1"/>
    <col min="13" max="14" width="11.5" style="3" customWidth="1"/>
    <col min="15" max="15" width="12" style="3" customWidth="1"/>
    <col min="16" max="16" width="14.8888888888889" style="3" customWidth="1"/>
    <col min="17" max="17" width="9.83333333333333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39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9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39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9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40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40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282</v>
      </c>
      <c r="E7" s="7"/>
      <c r="F7" s="7"/>
      <c r="G7" s="7"/>
      <c r="H7" s="8" t="s">
        <v>283</v>
      </c>
      <c r="I7" s="7"/>
      <c r="J7" s="7"/>
      <c r="K7" s="7"/>
      <c r="L7" s="41" t="s">
        <v>284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42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42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>
        <v>0</v>
      </c>
      <c r="I10" s="13"/>
      <c r="J10" s="17">
        <v>0</v>
      </c>
      <c r="K10" s="13"/>
      <c r="L10" s="43">
        <v>0</v>
      </c>
      <c r="M10" s="11"/>
      <c r="N10" s="17">
        <v>0</v>
      </c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>
        <v>0</v>
      </c>
      <c r="J11" s="17"/>
      <c r="K11" s="17">
        <v>0</v>
      </c>
      <c r="L11" s="43"/>
      <c r="M11" s="17">
        <f>(L10+L12)/2*25</f>
        <v>0</v>
      </c>
      <c r="N11" s="17"/>
      <c r="O11" s="17">
        <v>0</v>
      </c>
      <c r="P11" s="19">
        <f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>
        <v>0</v>
      </c>
      <c r="I12" s="17"/>
      <c r="J12" s="17">
        <v>0</v>
      </c>
      <c r="K12" s="17"/>
      <c r="L12" s="43">
        <v>0</v>
      </c>
      <c r="M12" s="17"/>
      <c r="N12" s="17">
        <v>0</v>
      </c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>
        <v>0</v>
      </c>
      <c r="J13" s="17"/>
      <c r="K13" s="17">
        <v>0</v>
      </c>
      <c r="L13" s="43"/>
      <c r="M13" s="17">
        <f>(L12+L14)/2*25</f>
        <v>0</v>
      </c>
      <c r="N13" s="17"/>
      <c r="O13" s="17">
        <v>0</v>
      </c>
      <c r="P13" s="19">
        <f>I13+K13-M13-O13</f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>
        <v>0</v>
      </c>
      <c r="I14" s="17"/>
      <c r="J14" s="17">
        <v>0</v>
      </c>
      <c r="K14" s="17"/>
      <c r="L14" s="43">
        <v>0</v>
      </c>
      <c r="M14" s="17"/>
      <c r="N14" s="17">
        <v>0</v>
      </c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>
        <v>0</v>
      </c>
      <c r="J15" s="17"/>
      <c r="K15" s="17">
        <v>0</v>
      </c>
      <c r="L15" s="43"/>
      <c r="M15" s="17">
        <f>(L14+L16)/2*25</f>
        <v>0</v>
      </c>
      <c r="N15" s="17"/>
      <c r="O15" s="17">
        <v>0</v>
      </c>
      <c r="P15" s="19">
        <f>I15+K15-M15-O15</f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>
        <v>0</v>
      </c>
      <c r="I16" s="17"/>
      <c r="J16" s="17">
        <v>0</v>
      </c>
      <c r="K16" s="17"/>
      <c r="L16" s="43">
        <v>0</v>
      </c>
      <c r="M16" s="17"/>
      <c r="N16" s="17">
        <v>0</v>
      </c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>
        <v>0</v>
      </c>
      <c r="J17" s="17"/>
      <c r="K17" s="17">
        <v>0</v>
      </c>
      <c r="L17" s="43"/>
      <c r="M17" s="17">
        <f>(L16+L18)/2*25</f>
        <v>0</v>
      </c>
      <c r="N17" s="17"/>
      <c r="O17" s="17">
        <v>0</v>
      </c>
      <c r="P17" s="19">
        <f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>
        <v>0</v>
      </c>
      <c r="I18" s="17"/>
      <c r="J18" s="17">
        <v>0</v>
      </c>
      <c r="K18" s="17"/>
      <c r="L18" s="43">
        <v>0</v>
      </c>
      <c r="M18" s="17"/>
      <c r="N18" s="17">
        <v>0</v>
      </c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>
        <v>0</v>
      </c>
      <c r="J19" s="17"/>
      <c r="K19" s="17">
        <v>0</v>
      </c>
      <c r="L19" s="43"/>
      <c r="M19" s="17">
        <f>(L18+L20)/2*25</f>
        <v>0</v>
      </c>
      <c r="N19" s="17"/>
      <c r="O19" s="17">
        <v>0</v>
      </c>
      <c r="P19" s="19">
        <f>I19+K19-M19-O19</f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>
        <v>0</v>
      </c>
      <c r="I20" s="17"/>
      <c r="J20" s="17">
        <v>0</v>
      </c>
      <c r="K20" s="17"/>
      <c r="L20" s="43">
        <v>0</v>
      </c>
      <c r="M20" s="17"/>
      <c r="N20" s="17">
        <v>0</v>
      </c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>
        <v>0</v>
      </c>
      <c r="J21" s="17"/>
      <c r="K21" s="17">
        <v>0</v>
      </c>
      <c r="L21" s="43"/>
      <c r="M21" s="17">
        <f>(L20+L22)/2*25</f>
        <v>0</v>
      </c>
      <c r="N21" s="17"/>
      <c r="O21" s="17">
        <v>0</v>
      </c>
      <c r="P21" s="19">
        <f>I21+K21-M21-O21</f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>
        <v>0</v>
      </c>
      <c r="I22" s="17"/>
      <c r="J22" s="17">
        <v>0</v>
      </c>
      <c r="K22" s="17"/>
      <c r="L22" s="43">
        <v>0</v>
      </c>
      <c r="M22" s="17"/>
      <c r="N22" s="17">
        <v>0</v>
      </c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>
        <v>0</v>
      </c>
      <c r="J23" s="17"/>
      <c r="K23" s="17">
        <v>0</v>
      </c>
      <c r="L23" s="43"/>
      <c r="M23" s="17">
        <f>(L22+L24)/2*25</f>
        <v>0</v>
      </c>
      <c r="N23" s="17"/>
      <c r="O23" s="17">
        <v>0</v>
      </c>
      <c r="P23" s="19">
        <f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>
        <v>0</v>
      </c>
      <c r="I24" s="17"/>
      <c r="J24" s="17">
        <v>0</v>
      </c>
      <c r="K24" s="17"/>
      <c r="L24" s="43">
        <v>0</v>
      </c>
      <c r="M24" s="17"/>
      <c r="N24" s="17">
        <v>0</v>
      </c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285.35</v>
      </c>
      <c r="H25" s="17"/>
      <c r="I25" s="17">
        <v>0</v>
      </c>
      <c r="J25" s="17"/>
      <c r="K25" s="17">
        <v>285.35</v>
      </c>
      <c r="L25" s="43"/>
      <c r="M25" s="17">
        <f>(L24+L26)/2*25</f>
        <v>0</v>
      </c>
      <c r="N25" s="17"/>
      <c r="O25" s="17">
        <v>285.35</v>
      </c>
      <c r="P25" s="19">
        <f>I25+K25-M25-O25</f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22.83</v>
      </c>
      <c r="G26" s="17"/>
      <c r="H26" s="17">
        <v>0</v>
      </c>
      <c r="I26" s="17"/>
      <c r="J26" s="17">
        <v>22.83</v>
      </c>
      <c r="K26" s="17"/>
      <c r="L26" s="43">
        <v>0</v>
      </c>
      <c r="M26" s="17"/>
      <c r="N26" s="17">
        <v>22.83</v>
      </c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132.39</v>
      </c>
      <c r="F27" s="17"/>
      <c r="G27" s="17">
        <v>1089.75</v>
      </c>
      <c r="H27" s="17"/>
      <c r="I27" s="17">
        <v>132.39</v>
      </c>
      <c r="J27" s="17"/>
      <c r="K27" s="17">
        <v>1089.75</v>
      </c>
      <c r="L27" s="43"/>
      <c r="M27" s="17">
        <v>132.39</v>
      </c>
      <c r="N27" s="17"/>
      <c r="O27" s="17">
        <v>1089.75</v>
      </c>
      <c r="P27" s="19">
        <f>I27+K27-M27-O27</f>
        <v>0</v>
      </c>
    </row>
    <row r="28" ht="12" customHeight="1" spans="1:16">
      <c r="A28" s="14">
        <v>10</v>
      </c>
      <c r="B28" s="15" t="s">
        <v>25</v>
      </c>
      <c r="C28" s="18"/>
      <c r="D28" s="16">
        <v>10.59</v>
      </c>
      <c r="E28" s="17"/>
      <c r="F28" s="17">
        <v>64.35</v>
      </c>
      <c r="G28" s="17"/>
      <c r="H28" s="17">
        <v>10.59</v>
      </c>
      <c r="I28" s="17"/>
      <c r="J28" s="17">
        <v>64.35</v>
      </c>
      <c r="K28" s="17"/>
      <c r="L28" s="43">
        <v>10.59</v>
      </c>
      <c r="M28" s="17"/>
      <c r="N28" s="17">
        <v>64.35</v>
      </c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628.54</v>
      </c>
      <c r="F29" s="17"/>
      <c r="G29" s="17">
        <v>1739.78</v>
      </c>
      <c r="H29" s="17"/>
      <c r="I29" s="17">
        <v>628.54</v>
      </c>
      <c r="J29" s="17"/>
      <c r="K29" s="17">
        <v>1739.78</v>
      </c>
      <c r="L29" s="43"/>
      <c r="M29" s="17">
        <v>628.54</v>
      </c>
      <c r="N29" s="17"/>
      <c r="O29" s="17">
        <v>1739.78</v>
      </c>
      <c r="P29" s="19">
        <f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39.69</v>
      </c>
      <c r="E30" s="17"/>
      <c r="F30" s="17">
        <v>74.83</v>
      </c>
      <c r="G30" s="17"/>
      <c r="H30" s="17">
        <v>39.69</v>
      </c>
      <c r="I30" s="17"/>
      <c r="J30" s="17">
        <v>74.83</v>
      </c>
      <c r="K30" s="17"/>
      <c r="L30" s="43">
        <v>39.69</v>
      </c>
      <c r="M30" s="17"/>
      <c r="N30" s="17">
        <v>74.83</v>
      </c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1139.38</v>
      </c>
      <c r="F31" s="17"/>
      <c r="G31" s="17">
        <v>1884.02</v>
      </c>
      <c r="H31" s="17"/>
      <c r="I31" s="17">
        <v>1139.38</v>
      </c>
      <c r="J31" s="17"/>
      <c r="K31" s="17">
        <v>1884.02</v>
      </c>
      <c r="L31" s="43"/>
      <c r="M31" s="17">
        <v>1139.38</v>
      </c>
      <c r="N31" s="17"/>
      <c r="O31" s="17">
        <v>1884.02</v>
      </c>
      <c r="P31" s="19">
        <f>I31+K31-M31-O31</f>
        <v>0</v>
      </c>
    </row>
    <row r="32" ht="12" customHeight="1" spans="1:16">
      <c r="A32" s="14">
        <v>12</v>
      </c>
      <c r="B32" s="15" t="s">
        <v>27</v>
      </c>
      <c r="C32" s="18"/>
      <c r="D32" s="16">
        <v>51.46</v>
      </c>
      <c r="E32" s="17"/>
      <c r="F32" s="17">
        <v>75.89</v>
      </c>
      <c r="G32" s="17"/>
      <c r="H32" s="17">
        <v>51.46</v>
      </c>
      <c r="I32" s="17"/>
      <c r="J32" s="17">
        <v>75.89</v>
      </c>
      <c r="K32" s="17"/>
      <c r="L32" s="43">
        <v>51.46</v>
      </c>
      <c r="M32" s="17"/>
      <c r="N32" s="17">
        <v>75.89</v>
      </c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1719.61</v>
      </c>
      <c r="F33" s="17"/>
      <c r="G33" s="20">
        <v>1987.62</v>
      </c>
      <c r="H33" s="17"/>
      <c r="I33" s="20">
        <v>1719.61</v>
      </c>
      <c r="J33" s="17"/>
      <c r="K33" s="20">
        <v>1987.62</v>
      </c>
      <c r="L33" s="43"/>
      <c r="M33" s="17">
        <v>1719.61</v>
      </c>
      <c r="N33" s="17"/>
      <c r="O33" s="17">
        <v>1987.62</v>
      </c>
      <c r="P33" s="19">
        <f>I33+K33-M33-O33</f>
        <v>0</v>
      </c>
    </row>
    <row r="34" ht="12" customHeight="1" spans="1:16">
      <c r="A34" s="14">
        <v>13</v>
      </c>
      <c r="B34" s="15" t="s">
        <v>28</v>
      </c>
      <c r="C34" s="18"/>
      <c r="D34" s="16">
        <v>86.11</v>
      </c>
      <c r="E34" s="21"/>
      <c r="F34" s="17">
        <v>83.12</v>
      </c>
      <c r="G34" s="21"/>
      <c r="H34" s="16">
        <v>86.11</v>
      </c>
      <c r="I34" s="21"/>
      <c r="J34" s="17">
        <v>83.12</v>
      </c>
      <c r="K34" s="21"/>
      <c r="L34" s="43">
        <v>86.11</v>
      </c>
      <c r="M34" s="17"/>
      <c r="N34" s="17">
        <v>83.12</v>
      </c>
      <c r="O34" s="17"/>
      <c r="P34" s="19"/>
    </row>
    <row r="35" ht="12" customHeight="1" spans="1:16">
      <c r="A35" s="14"/>
      <c r="B35" s="15"/>
      <c r="C35" s="18">
        <v>25</v>
      </c>
      <c r="D35" s="16"/>
      <c r="E35" s="17">
        <v>5231.87</v>
      </c>
      <c r="F35" s="17"/>
      <c r="G35" s="17">
        <v>2564.75</v>
      </c>
      <c r="H35" s="16"/>
      <c r="I35" s="17">
        <v>5231.87</v>
      </c>
      <c r="J35" s="17"/>
      <c r="K35" s="17">
        <v>2564.75</v>
      </c>
      <c r="L35" s="43"/>
      <c r="M35" s="17">
        <v>5231.87</v>
      </c>
      <c r="N35" s="17"/>
      <c r="O35" s="17">
        <v>2564.75</v>
      </c>
      <c r="P35" s="19">
        <f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332.44</v>
      </c>
      <c r="E36" s="17"/>
      <c r="F36" s="17">
        <v>122.06</v>
      </c>
      <c r="G36" s="17"/>
      <c r="H36" s="16">
        <v>332.44</v>
      </c>
      <c r="I36" s="17"/>
      <c r="J36" s="17">
        <v>122.06</v>
      </c>
      <c r="K36" s="17"/>
      <c r="L36" s="43">
        <v>332.44</v>
      </c>
      <c r="M36" s="17"/>
      <c r="N36" s="17">
        <v>122.06</v>
      </c>
      <c r="O36" s="17"/>
      <c r="P36" s="19"/>
    </row>
    <row r="37" ht="12" customHeight="1" spans="1:16">
      <c r="A37" s="14"/>
      <c r="B37" s="15"/>
      <c r="C37" s="18">
        <v>25</v>
      </c>
      <c r="D37" s="16"/>
      <c r="E37" s="17">
        <v>9065.17</v>
      </c>
      <c r="F37" s="17"/>
      <c r="G37" s="17">
        <v>3369.11</v>
      </c>
      <c r="H37" s="16"/>
      <c r="I37" s="17">
        <v>9065.17</v>
      </c>
      <c r="J37" s="17"/>
      <c r="K37" s="17">
        <v>3369.11</v>
      </c>
      <c r="L37" s="43"/>
      <c r="M37" s="17">
        <v>9065.17</v>
      </c>
      <c r="N37" s="17"/>
      <c r="O37" s="17">
        <v>3369.11</v>
      </c>
      <c r="P37" s="19">
        <f>I37+K37-M37-O37</f>
        <v>0</v>
      </c>
    </row>
    <row r="38" ht="12" customHeight="1" spans="1:16">
      <c r="A38" s="14">
        <v>15</v>
      </c>
      <c r="B38" s="15" t="s">
        <v>30</v>
      </c>
      <c r="C38" s="18"/>
      <c r="D38" s="16">
        <v>392.77</v>
      </c>
      <c r="E38" s="17"/>
      <c r="F38" s="17">
        <v>147.47</v>
      </c>
      <c r="G38" s="17"/>
      <c r="H38" s="16">
        <v>392.77</v>
      </c>
      <c r="I38" s="17"/>
      <c r="J38" s="17">
        <v>147.47</v>
      </c>
      <c r="K38" s="17"/>
      <c r="L38" s="43">
        <v>392.77</v>
      </c>
      <c r="M38" s="17"/>
      <c r="N38" s="17">
        <v>147.47</v>
      </c>
      <c r="O38" s="17"/>
      <c r="P38" s="19"/>
    </row>
    <row r="39" ht="12" customHeight="1" spans="1:16">
      <c r="A39" s="14"/>
      <c r="B39" s="15"/>
      <c r="C39" s="18">
        <v>25</v>
      </c>
      <c r="D39" s="16"/>
      <c r="E39" s="17">
        <v>10524.76</v>
      </c>
      <c r="F39" s="17"/>
      <c r="G39" s="17">
        <v>3796.78</v>
      </c>
      <c r="H39" s="16"/>
      <c r="I39" s="17">
        <v>10524.76</v>
      </c>
      <c r="J39" s="17"/>
      <c r="K39" s="17">
        <v>3796.78</v>
      </c>
      <c r="L39" s="43"/>
      <c r="M39" s="17">
        <v>10524.76</v>
      </c>
      <c r="N39" s="17"/>
      <c r="O39" s="17">
        <v>3796.78</v>
      </c>
      <c r="P39" s="19">
        <f>I39+K39-M39-O39</f>
        <v>0</v>
      </c>
    </row>
    <row r="40" ht="12" customHeight="1" spans="1:16">
      <c r="A40" s="14">
        <v>16</v>
      </c>
      <c r="B40" s="15" t="s">
        <v>31</v>
      </c>
      <c r="C40" s="18"/>
      <c r="D40" s="16">
        <v>449.21</v>
      </c>
      <c r="E40" s="17"/>
      <c r="F40" s="17">
        <v>156.28</v>
      </c>
      <c r="G40" s="17"/>
      <c r="H40" s="16">
        <v>449.21</v>
      </c>
      <c r="I40" s="17"/>
      <c r="J40" s="17">
        <v>156.28</v>
      </c>
      <c r="K40" s="17"/>
      <c r="L40" s="43">
        <v>449.21</v>
      </c>
      <c r="M40" s="17"/>
      <c r="N40" s="17">
        <v>156.28</v>
      </c>
      <c r="O40" s="17"/>
      <c r="P40" s="19"/>
    </row>
    <row r="41" ht="12" customHeight="1" spans="1:16">
      <c r="A41" s="14"/>
      <c r="B41" s="15"/>
      <c r="C41" s="18">
        <v>25</v>
      </c>
      <c r="D41" s="16"/>
      <c r="E41" s="17">
        <v>11111.61</v>
      </c>
      <c r="F41" s="17"/>
      <c r="G41" s="17">
        <v>3894.24</v>
      </c>
      <c r="H41" s="16"/>
      <c r="I41" s="17">
        <v>10963.11</v>
      </c>
      <c r="J41" s="17"/>
      <c r="K41" s="17">
        <v>3894.25</v>
      </c>
      <c r="L41" s="43"/>
      <c r="M41" s="17">
        <f>(L40+L42)/2*25</f>
        <v>10935.125</v>
      </c>
      <c r="N41" s="17"/>
      <c r="O41" s="17">
        <v>3894.25</v>
      </c>
      <c r="P41" s="19">
        <f>I41+K41-M41-O41</f>
        <v>27.9850000000006</v>
      </c>
    </row>
    <row r="42" ht="12" customHeight="1" spans="1:16">
      <c r="A42" s="14">
        <v>17</v>
      </c>
      <c r="B42" s="15" t="s">
        <v>32</v>
      </c>
      <c r="C42" s="18"/>
      <c r="D42" s="16">
        <v>439.72</v>
      </c>
      <c r="E42" s="17"/>
      <c r="F42" s="17">
        <v>155.26</v>
      </c>
      <c r="G42" s="17"/>
      <c r="H42" s="16">
        <v>427.84</v>
      </c>
      <c r="I42" s="17"/>
      <c r="J42" s="17">
        <v>155.26</v>
      </c>
      <c r="K42" s="17"/>
      <c r="L42" s="43">
        <v>425.6</v>
      </c>
      <c r="M42" s="17"/>
      <c r="N42" s="17">
        <v>155.26</v>
      </c>
      <c r="O42" s="17"/>
      <c r="P42" s="19"/>
    </row>
    <row r="43" ht="12" customHeight="1" spans="1:16">
      <c r="A43" s="14"/>
      <c r="B43" s="15"/>
      <c r="C43" s="18">
        <v>25</v>
      </c>
      <c r="D43" s="16"/>
      <c r="E43" s="17">
        <v>10572.48</v>
      </c>
      <c r="F43" s="17"/>
      <c r="G43" s="17">
        <v>3882.35</v>
      </c>
      <c r="H43" s="16"/>
      <c r="I43" s="17">
        <v>9996.39</v>
      </c>
      <c r="J43" s="17"/>
      <c r="K43" s="17">
        <v>3882.38</v>
      </c>
      <c r="L43" s="43"/>
      <c r="M43" s="17">
        <f>(L42+L44)/2*25</f>
        <v>9937.625</v>
      </c>
      <c r="N43" s="17"/>
      <c r="O43" s="17">
        <v>3882.38</v>
      </c>
      <c r="P43" s="19">
        <f>I43+K43-M43-O43</f>
        <v>58.7650000000003</v>
      </c>
    </row>
    <row r="44" ht="12" customHeight="1" spans="1:16">
      <c r="A44" s="14">
        <v>18</v>
      </c>
      <c r="B44" s="15" t="s">
        <v>33</v>
      </c>
      <c r="C44" s="18"/>
      <c r="D44" s="16">
        <v>406.07</v>
      </c>
      <c r="E44" s="17"/>
      <c r="F44" s="17">
        <v>155.33</v>
      </c>
      <c r="G44" s="17"/>
      <c r="H44" s="16">
        <v>371.87</v>
      </c>
      <c r="I44" s="17"/>
      <c r="J44" s="17">
        <v>155.33</v>
      </c>
      <c r="K44" s="17"/>
      <c r="L44" s="43">
        <v>369.41</v>
      </c>
      <c r="M44" s="17"/>
      <c r="N44" s="17">
        <v>155.33</v>
      </c>
      <c r="O44" s="17"/>
      <c r="P44" s="19"/>
    </row>
    <row r="45" ht="12" customHeight="1" spans="1:16">
      <c r="A45" s="14"/>
      <c r="B45" s="15"/>
      <c r="C45" s="18">
        <v>25</v>
      </c>
      <c r="D45" s="16"/>
      <c r="E45" s="17">
        <v>9447.31</v>
      </c>
      <c r="F45" s="17"/>
      <c r="G45" s="17">
        <v>3859.57</v>
      </c>
      <c r="H45" s="16"/>
      <c r="I45" s="17">
        <v>8638.07</v>
      </c>
      <c r="J45" s="17"/>
      <c r="K45" s="17">
        <v>3859.63</v>
      </c>
      <c r="L45" s="43"/>
      <c r="M45" s="17">
        <f>(L44+L46)/2*25</f>
        <v>8387.25</v>
      </c>
      <c r="N45" s="17"/>
      <c r="O45" s="17">
        <v>3859.63</v>
      </c>
      <c r="P45" s="19">
        <f>I45+K45-M45-O45</f>
        <v>250.820000000001</v>
      </c>
    </row>
    <row r="46" ht="12" customHeight="1" spans="1:16">
      <c r="A46" s="14">
        <v>19</v>
      </c>
      <c r="B46" s="15" t="s">
        <v>34</v>
      </c>
      <c r="C46" s="18"/>
      <c r="D46" s="16">
        <v>349.71</v>
      </c>
      <c r="E46" s="17"/>
      <c r="F46" s="17">
        <v>153.44</v>
      </c>
      <c r="G46" s="17"/>
      <c r="H46" s="16">
        <v>319.17</v>
      </c>
      <c r="I46" s="17"/>
      <c r="J46" s="17">
        <v>153.44</v>
      </c>
      <c r="K46" s="17"/>
      <c r="L46" s="43">
        <v>301.57</v>
      </c>
      <c r="M46" s="17"/>
      <c r="N46" s="17">
        <v>153.44</v>
      </c>
      <c r="O46" s="17"/>
      <c r="P46" s="19"/>
    </row>
    <row r="47" ht="12" customHeight="1" spans="1:16">
      <c r="A47" s="14"/>
      <c r="B47" s="15"/>
      <c r="C47" s="18">
        <v>25</v>
      </c>
      <c r="D47" s="16"/>
      <c r="E47" s="17">
        <v>9390.81</v>
      </c>
      <c r="F47" s="17"/>
      <c r="G47" s="17">
        <v>3864.79</v>
      </c>
      <c r="H47" s="16"/>
      <c r="I47" s="17">
        <v>7651.67</v>
      </c>
      <c r="J47" s="17"/>
      <c r="K47" s="17">
        <v>3864.75</v>
      </c>
      <c r="L47" s="43"/>
      <c r="M47" s="17">
        <f>(L46+L48)/2*25</f>
        <v>7431.625</v>
      </c>
      <c r="N47" s="17"/>
      <c r="O47" s="17">
        <v>3864.75</v>
      </c>
      <c r="P47" s="19">
        <f>I47+K47-M47-O47</f>
        <v>220.045</v>
      </c>
    </row>
    <row r="48" ht="12" customHeight="1" spans="1:16">
      <c r="A48" s="14">
        <v>20</v>
      </c>
      <c r="B48" s="15" t="s">
        <v>35</v>
      </c>
      <c r="C48" s="18"/>
      <c r="D48" s="16">
        <v>401.56</v>
      </c>
      <c r="E48" s="17"/>
      <c r="F48" s="17">
        <v>155.74</v>
      </c>
      <c r="G48" s="17"/>
      <c r="H48" s="16">
        <v>292.96</v>
      </c>
      <c r="I48" s="17"/>
      <c r="J48" s="17">
        <v>155.74</v>
      </c>
      <c r="K48" s="17"/>
      <c r="L48" s="16">
        <v>292.96</v>
      </c>
      <c r="M48" s="17"/>
      <c r="N48" s="17">
        <v>155.74</v>
      </c>
      <c r="O48" s="17"/>
      <c r="P48" s="19"/>
    </row>
    <row r="49" ht="12" customHeight="1" spans="1:16">
      <c r="A49" s="14"/>
      <c r="B49" s="15"/>
      <c r="C49" s="18">
        <v>25</v>
      </c>
      <c r="D49" s="16"/>
      <c r="E49" s="17">
        <v>10226.31</v>
      </c>
      <c r="F49" s="17"/>
      <c r="G49" s="17">
        <v>3898.24</v>
      </c>
      <c r="H49" s="16"/>
      <c r="I49" s="17">
        <v>8023.04</v>
      </c>
      <c r="J49" s="17"/>
      <c r="K49" s="17">
        <v>3898.25</v>
      </c>
      <c r="L49" s="16"/>
      <c r="M49" s="17">
        <v>8023.04</v>
      </c>
      <c r="N49" s="17"/>
      <c r="O49" s="17">
        <v>3898.25</v>
      </c>
      <c r="P49" s="19">
        <f>I49+K49-M49-O49</f>
        <v>0</v>
      </c>
    </row>
    <row r="50" ht="12" customHeight="1" spans="1:16">
      <c r="A50" s="14">
        <v>21</v>
      </c>
      <c r="B50" s="15" t="s">
        <v>36</v>
      </c>
      <c r="C50" s="18"/>
      <c r="D50" s="16">
        <v>416.55</v>
      </c>
      <c r="E50" s="17"/>
      <c r="F50" s="17">
        <v>156.12</v>
      </c>
      <c r="G50" s="17"/>
      <c r="H50" s="16">
        <v>348.88</v>
      </c>
      <c r="I50" s="17"/>
      <c r="J50" s="17">
        <v>156.12</v>
      </c>
      <c r="K50" s="17"/>
      <c r="L50" s="16">
        <v>348.88</v>
      </c>
      <c r="M50" s="17"/>
      <c r="N50" s="17">
        <v>156.12</v>
      </c>
      <c r="O50" s="17"/>
      <c r="P50" s="19"/>
    </row>
    <row r="51" ht="12" customHeight="1" spans="1:16">
      <c r="A51" s="14"/>
      <c r="B51" s="15"/>
      <c r="C51" s="18">
        <v>25</v>
      </c>
      <c r="D51" s="16"/>
      <c r="E51" s="17">
        <v>10538.64</v>
      </c>
      <c r="F51" s="17"/>
      <c r="G51" s="17">
        <v>3915.86</v>
      </c>
      <c r="H51" s="16"/>
      <c r="I51" s="17">
        <v>8781.31</v>
      </c>
      <c r="J51" s="17"/>
      <c r="K51" s="17">
        <v>3915.88</v>
      </c>
      <c r="L51" s="16"/>
      <c r="M51" s="17">
        <f>(L50+L52)/2*25</f>
        <v>8758.625</v>
      </c>
      <c r="N51" s="17"/>
      <c r="O51" s="17">
        <v>3915.88</v>
      </c>
      <c r="P51" s="19">
        <f>I51+K51-M51-O51</f>
        <v>22.6849999999986</v>
      </c>
    </row>
    <row r="52" ht="12" customHeight="1" spans="1:16">
      <c r="A52" s="14">
        <v>22</v>
      </c>
      <c r="B52" s="15" t="s">
        <v>37</v>
      </c>
      <c r="C52" s="18"/>
      <c r="D52" s="16">
        <v>426.54</v>
      </c>
      <c r="E52" s="17"/>
      <c r="F52" s="17">
        <v>157.15</v>
      </c>
      <c r="G52" s="17"/>
      <c r="H52" s="16">
        <v>353.62</v>
      </c>
      <c r="I52" s="17"/>
      <c r="J52" s="17">
        <v>157.15</v>
      </c>
      <c r="K52" s="17"/>
      <c r="L52" s="43">
        <v>351.81</v>
      </c>
      <c r="M52" s="17"/>
      <c r="N52" s="17">
        <v>157.15</v>
      </c>
      <c r="O52" s="17"/>
      <c r="P52" s="19"/>
    </row>
    <row r="53" ht="12" customHeight="1" spans="1:16">
      <c r="A53" s="14"/>
      <c r="B53" s="15"/>
      <c r="C53" s="18">
        <v>25</v>
      </c>
      <c r="D53" s="16"/>
      <c r="E53" s="17">
        <v>10477.89</v>
      </c>
      <c r="F53" s="17"/>
      <c r="G53" s="17">
        <v>3950.53</v>
      </c>
      <c r="H53" s="16"/>
      <c r="I53" s="17">
        <v>8357.13</v>
      </c>
      <c r="J53" s="17"/>
      <c r="K53" s="17">
        <v>3950.5</v>
      </c>
      <c r="L53" s="43"/>
      <c r="M53" s="17">
        <f>(L52+L54)/2*25</f>
        <v>8287.625</v>
      </c>
      <c r="N53" s="17"/>
      <c r="O53" s="17">
        <v>3950.5</v>
      </c>
      <c r="P53" s="19">
        <f>I53+K53-M53-O53</f>
        <v>69.5049999999992</v>
      </c>
    </row>
    <row r="54" ht="12" customHeight="1" spans="1:16">
      <c r="A54" s="14">
        <v>23</v>
      </c>
      <c r="B54" s="15" t="s">
        <v>38</v>
      </c>
      <c r="C54" s="18"/>
      <c r="D54" s="16">
        <v>411.69</v>
      </c>
      <c r="E54" s="17"/>
      <c r="F54" s="17">
        <v>158.89</v>
      </c>
      <c r="G54" s="17"/>
      <c r="H54" s="16">
        <v>314.95</v>
      </c>
      <c r="I54" s="17"/>
      <c r="J54" s="17">
        <v>158.89</v>
      </c>
      <c r="K54" s="17"/>
      <c r="L54" s="43">
        <v>311.2</v>
      </c>
      <c r="M54" s="17"/>
      <c r="N54" s="17">
        <v>158.89</v>
      </c>
      <c r="O54" s="17"/>
      <c r="P54" s="19"/>
    </row>
    <row r="55" ht="12" customHeight="1" spans="1:16">
      <c r="A55" s="14"/>
      <c r="B55" s="15"/>
      <c r="C55" s="18">
        <v>25</v>
      </c>
      <c r="D55" s="16"/>
      <c r="E55" s="17">
        <v>10729.11</v>
      </c>
      <c r="F55" s="17"/>
      <c r="G55" s="17">
        <v>3954.22</v>
      </c>
      <c r="H55" s="16"/>
      <c r="I55" s="17">
        <v>8103.62</v>
      </c>
      <c r="J55" s="17"/>
      <c r="K55" s="17">
        <v>3954.25</v>
      </c>
      <c r="L55" s="43"/>
      <c r="M55" s="17">
        <f>(L54+L56)/2*25</f>
        <v>8056.75</v>
      </c>
      <c r="N55" s="17"/>
      <c r="O55" s="17">
        <v>3954.25</v>
      </c>
      <c r="P55" s="19">
        <f>I55+K55-M55-O55</f>
        <v>46.869999999999</v>
      </c>
    </row>
    <row r="56" ht="12" customHeight="1" spans="1:16">
      <c r="A56" s="14">
        <v>24</v>
      </c>
      <c r="B56" s="15" t="s">
        <v>39</v>
      </c>
      <c r="C56" s="18"/>
      <c r="D56" s="16">
        <v>446.64</v>
      </c>
      <c r="E56" s="17"/>
      <c r="F56" s="17">
        <v>157.45</v>
      </c>
      <c r="G56" s="17"/>
      <c r="H56" s="16">
        <v>333.34</v>
      </c>
      <c r="I56" s="17"/>
      <c r="J56" s="17">
        <v>157.45</v>
      </c>
      <c r="K56" s="17"/>
      <c r="L56" s="43">
        <v>333.34</v>
      </c>
      <c r="M56" s="17"/>
      <c r="N56" s="17">
        <v>157.45</v>
      </c>
      <c r="O56" s="17"/>
      <c r="P56" s="19"/>
    </row>
    <row r="57" ht="12" customHeight="1" spans="1:16">
      <c r="A57" s="14"/>
      <c r="B57" s="15"/>
      <c r="C57" s="18">
        <v>25</v>
      </c>
      <c r="D57" s="16"/>
      <c r="E57" s="17">
        <v>11201.42</v>
      </c>
      <c r="F57" s="17"/>
      <c r="G57" s="17">
        <v>3921.88</v>
      </c>
      <c r="H57" s="16"/>
      <c r="I57" s="17">
        <v>8588.17</v>
      </c>
      <c r="J57" s="17"/>
      <c r="K57" s="17">
        <v>3921.88</v>
      </c>
      <c r="L57" s="43"/>
      <c r="M57" s="17">
        <v>8588.17</v>
      </c>
      <c r="N57" s="17"/>
      <c r="O57" s="17">
        <v>3921.88</v>
      </c>
      <c r="P57" s="19">
        <f>I57+K57-M57-O57</f>
        <v>0</v>
      </c>
    </row>
    <row r="58" ht="12" customHeight="1" spans="1:16">
      <c r="A58" s="14">
        <v>25</v>
      </c>
      <c r="B58" s="15" t="s">
        <v>40</v>
      </c>
      <c r="C58" s="18"/>
      <c r="D58" s="16">
        <v>449.47</v>
      </c>
      <c r="E58" s="17"/>
      <c r="F58" s="17">
        <v>156.3</v>
      </c>
      <c r="G58" s="17"/>
      <c r="H58" s="16">
        <v>353.71</v>
      </c>
      <c r="I58" s="17"/>
      <c r="J58" s="17">
        <v>156.3</v>
      </c>
      <c r="K58" s="17"/>
      <c r="L58" s="43">
        <v>353.71</v>
      </c>
      <c r="M58" s="17"/>
      <c r="N58" s="17">
        <v>156.3</v>
      </c>
      <c r="O58" s="17"/>
      <c r="P58" s="19"/>
    </row>
    <row r="59" ht="12" customHeight="1" spans="1:16">
      <c r="A59" s="14"/>
      <c r="B59" s="15"/>
      <c r="C59" s="18">
        <v>25</v>
      </c>
      <c r="D59" s="16"/>
      <c r="E59" s="17">
        <v>11236.78</v>
      </c>
      <c r="F59" s="17"/>
      <c r="G59" s="17">
        <v>3901.81</v>
      </c>
      <c r="H59" s="16"/>
      <c r="I59" s="17">
        <v>9206.84</v>
      </c>
      <c r="J59" s="17"/>
      <c r="K59" s="17">
        <v>3901.75</v>
      </c>
      <c r="L59" s="43"/>
      <c r="M59" s="17">
        <f>(L58+L60)/2*25</f>
        <v>9190.875</v>
      </c>
      <c r="N59" s="17"/>
      <c r="O59" s="17">
        <v>3901.75</v>
      </c>
      <c r="P59" s="19">
        <f>I59+K59-M59-O59</f>
        <v>15.9650000000001</v>
      </c>
    </row>
    <row r="60" ht="12" customHeight="1" spans="1:16">
      <c r="A60" s="14">
        <v>26</v>
      </c>
      <c r="B60" s="15" t="s">
        <v>41</v>
      </c>
      <c r="C60" s="18"/>
      <c r="D60" s="16">
        <v>449.47</v>
      </c>
      <c r="E60" s="17"/>
      <c r="F60" s="17">
        <v>155.84</v>
      </c>
      <c r="G60" s="17"/>
      <c r="H60" s="16">
        <v>382.84</v>
      </c>
      <c r="I60" s="17"/>
      <c r="J60" s="17">
        <v>155.84</v>
      </c>
      <c r="K60" s="17"/>
      <c r="L60" s="43">
        <v>381.56</v>
      </c>
      <c r="M60" s="17"/>
      <c r="N60" s="17">
        <v>155.84</v>
      </c>
      <c r="O60" s="17"/>
      <c r="P60" s="19"/>
    </row>
    <row r="61" ht="12" customHeight="1" spans="1:16">
      <c r="A61" s="14"/>
      <c r="B61" s="15"/>
      <c r="C61" s="18">
        <v>25</v>
      </c>
      <c r="D61" s="16"/>
      <c r="E61" s="17">
        <v>11265.82</v>
      </c>
      <c r="F61" s="17"/>
      <c r="G61" s="17">
        <v>3905.05</v>
      </c>
      <c r="H61" s="16"/>
      <c r="I61" s="17">
        <v>9629.08</v>
      </c>
      <c r="J61" s="17"/>
      <c r="K61" s="17">
        <v>3905</v>
      </c>
      <c r="L61" s="43"/>
      <c r="M61" s="17">
        <f>(L60+L62)/2*25</f>
        <v>9561.875</v>
      </c>
      <c r="N61" s="17"/>
      <c r="O61" s="17">
        <v>3905</v>
      </c>
      <c r="P61" s="19">
        <f>I61+K61-M61-O61</f>
        <v>67.2049999999999</v>
      </c>
    </row>
    <row r="62" ht="12" customHeight="1" spans="1:16">
      <c r="A62" s="14">
        <v>27</v>
      </c>
      <c r="B62" s="15" t="s">
        <v>42</v>
      </c>
      <c r="C62" s="18"/>
      <c r="D62" s="16">
        <v>451.8</v>
      </c>
      <c r="E62" s="17"/>
      <c r="F62" s="17">
        <v>156.56</v>
      </c>
      <c r="G62" s="17"/>
      <c r="H62" s="16">
        <v>387.49</v>
      </c>
      <c r="I62" s="17"/>
      <c r="J62" s="17">
        <v>156.56</v>
      </c>
      <c r="K62" s="17"/>
      <c r="L62" s="43">
        <v>383.39</v>
      </c>
      <c r="M62" s="17"/>
      <c r="N62" s="17">
        <v>156.56</v>
      </c>
      <c r="O62" s="17"/>
      <c r="P62" s="19"/>
    </row>
    <row r="63" ht="12" customHeight="1" spans="1:16">
      <c r="A63" s="14"/>
      <c r="B63" s="15"/>
      <c r="C63" s="18">
        <v>25</v>
      </c>
      <c r="D63" s="16"/>
      <c r="E63" s="17">
        <v>11378.44</v>
      </c>
      <c r="F63" s="17"/>
      <c r="G63" s="17">
        <v>3892.83</v>
      </c>
      <c r="H63" s="16"/>
      <c r="I63" s="17">
        <v>9740.63</v>
      </c>
      <c r="J63" s="17"/>
      <c r="K63" s="17">
        <v>3892.75</v>
      </c>
      <c r="L63" s="43"/>
      <c r="M63" s="17">
        <f>(L62+L64)/2*25</f>
        <v>9665.75</v>
      </c>
      <c r="N63" s="17"/>
      <c r="O63" s="17">
        <v>3892.75</v>
      </c>
      <c r="P63" s="19">
        <f>I63+K63-M63-O63</f>
        <v>74.8799999999992</v>
      </c>
    </row>
    <row r="64" ht="12" customHeight="1" spans="1:16">
      <c r="A64" s="14">
        <v>28</v>
      </c>
      <c r="B64" s="15" t="s">
        <v>43</v>
      </c>
      <c r="C64" s="18"/>
      <c r="D64" s="16">
        <v>458.48</v>
      </c>
      <c r="E64" s="17"/>
      <c r="F64" s="17">
        <v>154.86</v>
      </c>
      <c r="G64" s="17"/>
      <c r="H64" s="16">
        <v>391.76</v>
      </c>
      <c r="I64" s="17"/>
      <c r="J64" s="17">
        <v>154.86</v>
      </c>
      <c r="K64" s="17"/>
      <c r="L64" s="43">
        <v>389.87</v>
      </c>
      <c r="M64" s="17"/>
      <c r="N64" s="17">
        <v>154.86</v>
      </c>
      <c r="O64" s="17"/>
      <c r="P64" s="19"/>
    </row>
    <row r="65" ht="12" customHeight="1" spans="1:16">
      <c r="A65" s="14"/>
      <c r="B65" s="15"/>
      <c r="C65" s="18">
        <v>25</v>
      </c>
      <c r="D65" s="16"/>
      <c r="E65" s="17">
        <v>11442.75</v>
      </c>
      <c r="F65" s="17"/>
      <c r="G65" s="17">
        <v>3879.87</v>
      </c>
      <c r="H65" s="16"/>
      <c r="I65" s="17">
        <v>9875.25</v>
      </c>
      <c r="J65" s="17"/>
      <c r="K65" s="17">
        <v>3879.88</v>
      </c>
      <c r="L65" s="43"/>
      <c r="M65" s="17">
        <f>(L64+L66)/2*25</f>
        <v>9840.625</v>
      </c>
      <c r="N65" s="17"/>
      <c r="O65" s="17">
        <v>3879.88</v>
      </c>
      <c r="P65" s="19">
        <f>I65+K65-M65-O65</f>
        <v>34.6250000000009</v>
      </c>
    </row>
    <row r="66" ht="12" customHeight="1" spans="1:16">
      <c r="A66" s="14">
        <v>29</v>
      </c>
      <c r="B66" s="15" t="s">
        <v>44</v>
      </c>
      <c r="C66" s="18"/>
      <c r="D66" s="16">
        <v>456.94</v>
      </c>
      <c r="E66" s="17"/>
      <c r="F66" s="17">
        <v>155.53</v>
      </c>
      <c r="G66" s="17"/>
      <c r="H66" s="16">
        <v>398.26</v>
      </c>
      <c r="I66" s="17"/>
      <c r="J66" s="17">
        <v>155.53</v>
      </c>
      <c r="K66" s="17"/>
      <c r="L66" s="43">
        <v>397.38</v>
      </c>
      <c r="M66" s="17"/>
      <c r="N66" s="17">
        <v>155.53</v>
      </c>
      <c r="O66" s="17"/>
      <c r="P66" s="19"/>
    </row>
    <row r="67" ht="12" customHeight="1" spans="1:16">
      <c r="A67" s="14"/>
      <c r="B67" s="15"/>
      <c r="C67" s="18">
        <v>25</v>
      </c>
      <c r="D67" s="16"/>
      <c r="E67" s="17">
        <v>12100.95</v>
      </c>
      <c r="F67" s="17"/>
      <c r="G67" s="17">
        <v>3912.97</v>
      </c>
      <c r="H67" s="16"/>
      <c r="I67" s="17">
        <v>10612.13</v>
      </c>
      <c r="J67" s="17"/>
      <c r="K67" s="17">
        <v>3913</v>
      </c>
      <c r="L67" s="43"/>
      <c r="M67" s="17">
        <f>(L66+L68)/2*25</f>
        <v>10529.375</v>
      </c>
      <c r="N67" s="17"/>
      <c r="O67" s="17">
        <v>3913</v>
      </c>
      <c r="P67" s="19">
        <f>I67+K67-M67-O67</f>
        <v>82.7549999999992</v>
      </c>
    </row>
    <row r="68" ht="12" customHeight="1" spans="1:16">
      <c r="A68" s="14">
        <v>30</v>
      </c>
      <c r="B68" s="15" t="s">
        <v>45</v>
      </c>
      <c r="C68" s="18"/>
      <c r="D68" s="16">
        <v>511.13</v>
      </c>
      <c r="E68" s="17"/>
      <c r="F68" s="17">
        <v>157.51</v>
      </c>
      <c r="G68" s="17"/>
      <c r="H68" s="16">
        <v>450.71</v>
      </c>
      <c r="I68" s="17"/>
      <c r="J68" s="17">
        <v>157.51</v>
      </c>
      <c r="K68" s="17"/>
      <c r="L68" s="43">
        <v>444.97</v>
      </c>
      <c r="M68" s="17"/>
      <c r="N68" s="17">
        <v>157.51</v>
      </c>
      <c r="O68" s="17"/>
      <c r="P68" s="19"/>
    </row>
    <row r="69" ht="12" customHeight="1" spans="1:16">
      <c r="A69" s="14"/>
      <c r="B69" s="15"/>
      <c r="C69" s="18">
        <v>25</v>
      </c>
      <c r="D69" s="16"/>
      <c r="E69" s="17">
        <v>13060.91</v>
      </c>
      <c r="F69" s="17"/>
      <c r="G69" s="17">
        <v>3923.47</v>
      </c>
      <c r="H69" s="16"/>
      <c r="I69" s="17">
        <v>11287.9</v>
      </c>
      <c r="J69" s="17"/>
      <c r="K69" s="17">
        <v>3923.5</v>
      </c>
      <c r="L69" s="43"/>
      <c r="M69" s="17">
        <f>(L68+L70)/2*25</f>
        <v>11186.25</v>
      </c>
      <c r="N69" s="17"/>
      <c r="O69" s="17">
        <v>3923.5</v>
      </c>
      <c r="P69" s="19">
        <f>I69+K69-M69-O69</f>
        <v>101.649999999998</v>
      </c>
    </row>
    <row r="70" ht="12" customHeight="1" spans="1:16">
      <c r="A70" s="14">
        <v>31</v>
      </c>
      <c r="B70" s="15" t="s">
        <v>46</v>
      </c>
      <c r="C70" s="18"/>
      <c r="D70" s="16">
        <v>533.74</v>
      </c>
      <c r="E70" s="17"/>
      <c r="F70" s="17">
        <v>156.37</v>
      </c>
      <c r="G70" s="17"/>
      <c r="H70" s="16">
        <v>452.32</v>
      </c>
      <c r="I70" s="17"/>
      <c r="J70" s="17">
        <v>156.37</v>
      </c>
      <c r="K70" s="17"/>
      <c r="L70" s="43">
        <v>449.93</v>
      </c>
      <c r="M70" s="17"/>
      <c r="N70" s="17">
        <v>156.37</v>
      </c>
      <c r="O70" s="17"/>
      <c r="P70" s="19"/>
    </row>
    <row r="71" ht="12" customHeight="1" spans="1:16">
      <c r="A71" s="14"/>
      <c r="B71" s="15"/>
      <c r="C71" s="18">
        <v>25</v>
      </c>
      <c r="D71" s="16"/>
      <c r="E71" s="17">
        <v>13910.03</v>
      </c>
      <c r="F71" s="17"/>
      <c r="G71" s="17">
        <v>3917.46</v>
      </c>
      <c r="H71" s="16"/>
      <c r="I71" s="17">
        <v>11756.78</v>
      </c>
      <c r="J71" s="17"/>
      <c r="K71" s="17">
        <v>3917.5</v>
      </c>
      <c r="L71" s="43"/>
      <c r="M71" s="17">
        <f>(L70+L72)/2*25</f>
        <v>11725.5</v>
      </c>
      <c r="N71" s="17"/>
      <c r="O71" s="17">
        <v>3917.5</v>
      </c>
      <c r="P71" s="19">
        <f>I71+K71-M71-O71</f>
        <v>31.2800000000007</v>
      </c>
    </row>
    <row r="72" ht="12" customHeight="1" spans="1:16">
      <c r="A72" s="14">
        <v>32</v>
      </c>
      <c r="B72" s="15" t="s">
        <v>47</v>
      </c>
      <c r="C72" s="18"/>
      <c r="D72" s="16">
        <v>579.06</v>
      </c>
      <c r="E72" s="17"/>
      <c r="F72" s="17">
        <v>157.03</v>
      </c>
      <c r="G72" s="17"/>
      <c r="H72" s="16">
        <v>488.22</v>
      </c>
      <c r="I72" s="17"/>
      <c r="J72" s="17">
        <v>157.03</v>
      </c>
      <c r="K72" s="17"/>
      <c r="L72" s="43">
        <v>488.11</v>
      </c>
      <c r="M72" s="17"/>
      <c r="N72" s="17">
        <v>157.03</v>
      </c>
      <c r="O72" s="17"/>
      <c r="P72" s="19"/>
    </row>
    <row r="73" ht="12" customHeight="1" spans="1:16">
      <c r="A73" s="14"/>
      <c r="B73" s="15"/>
      <c r="C73" s="18">
        <v>25</v>
      </c>
      <c r="D73" s="16"/>
      <c r="E73" s="17">
        <v>14174.64</v>
      </c>
      <c r="F73" s="17"/>
      <c r="G73" s="17">
        <v>3922.29</v>
      </c>
      <c r="H73" s="16"/>
      <c r="I73" s="17">
        <v>12064.26</v>
      </c>
      <c r="J73" s="17"/>
      <c r="K73" s="17">
        <v>3922.25</v>
      </c>
      <c r="L73" s="43"/>
      <c r="M73" s="17">
        <f>(L72+L74)/2*25</f>
        <v>12033</v>
      </c>
      <c r="N73" s="17"/>
      <c r="O73" s="17">
        <v>3922.25</v>
      </c>
      <c r="P73" s="19">
        <f>I73+K73-M73-O73</f>
        <v>31.2600000000002</v>
      </c>
    </row>
    <row r="74" ht="12" customHeight="1" spans="1:16">
      <c r="A74" s="14">
        <v>33</v>
      </c>
      <c r="B74" s="15" t="s">
        <v>48</v>
      </c>
      <c r="C74" s="18"/>
      <c r="D74" s="16">
        <v>554.91</v>
      </c>
      <c r="E74" s="17"/>
      <c r="F74" s="17">
        <v>156.75</v>
      </c>
      <c r="G74" s="17"/>
      <c r="H74" s="16">
        <v>476.92</v>
      </c>
      <c r="I74" s="17"/>
      <c r="J74" s="17">
        <v>156.75</v>
      </c>
      <c r="K74" s="17"/>
      <c r="L74" s="43">
        <v>474.53</v>
      </c>
      <c r="M74" s="17"/>
      <c r="N74" s="17">
        <v>156.75</v>
      </c>
      <c r="O74" s="17"/>
      <c r="P74" s="19"/>
    </row>
    <row r="75" ht="12" customHeight="1" spans="1:16">
      <c r="A75" s="14"/>
      <c r="B75" s="15"/>
      <c r="C75" s="18">
        <v>25</v>
      </c>
      <c r="D75" s="16"/>
      <c r="E75" s="17">
        <v>13247.2</v>
      </c>
      <c r="F75" s="17"/>
      <c r="G75" s="17">
        <v>3927.08</v>
      </c>
      <c r="H75" s="16"/>
      <c r="I75" s="17">
        <v>11768.23</v>
      </c>
      <c r="J75" s="17"/>
      <c r="K75" s="17">
        <v>3927</v>
      </c>
      <c r="L75" s="43"/>
      <c r="M75" s="17">
        <f>(L74+L76)/2*25</f>
        <v>11732.25</v>
      </c>
      <c r="N75" s="17"/>
      <c r="O75" s="17">
        <v>3927</v>
      </c>
      <c r="P75" s="19">
        <f>I75+K75-M75-O75</f>
        <v>35.9799999999996</v>
      </c>
    </row>
    <row r="76" ht="12" customHeight="1" spans="1:16">
      <c r="A76" s="14">
        <v>34</v>
      </c>
      <c r="B76" s="15" t="s">
        <v>49</v>
      </c>
      <c r="C76" s="18"/>
      <c r="D76" s="16">
        <v>504.87</v>
      </c>
      <c r="E76" s="17"/>
      <c r="F76" s="17">
        <v>157.41</v>
      </c>
      <c r="G76" s="17"/>
      <c r="H76" s="16">
        <v>464.54</v>
      </c>
      <c r="I76" s="17"/>
      <c r="J76" s="17">
        <v>157.41</v>
      </c>
      <c r="K76" s="17"/>
      <c r="L76" s="43">
        <v>464.05</v>
      </c>
      <c r="M76" s="17"/>
      <c r="N76" s="17">
        <v>157.41</v>
      </c>
      <c r="O76" s="17"/>
      <c r="P76" s="19"/>
    </row>
    <row r="77" ht="12" customHeight="1" spans="1:16">
      <c r="A77" s="14"/>
      <c r="B77" s="15"/>
      <c r="C77" s="18">
        <v>25</v>
      </c>
      <c r="D77" s="16"/>
      <c r="E77" s="17">
        <v>12551.87</v>
      </c>
      <c r="F77" s="17"/>
      <c r="G77" s="17">
        <v>3956.33</v>
      </c>
      <c r="H77" s="16"/>
      <c r="I77" s="17">
        <v>11490.6</v>
      </c>
      <c r="J77" s="17"/>
      <c r="K77" s="17">
        <v>3956.25</v>
      </c>
      <c r="L77" s="43"/>
      <c r="M77" s="17">
        <f>(L76+L78)/2*25</f>
        <v>11481.625</v>
      </c>
      <c r="N77" s="17"/>
      <c r="O77" s="17">
        <v>3956.25</v>
      </c>
      <c r="P77" s="19">
        <f>I77+K77-M77-O77</f>
        <v>8.97500000000036</v>
      </c>
    </row>
    <row r="78" ht="12" customHeight="1" spans="1:16">
      <c r="A78" s="14">
        <v>35</v>
      </c>
      <c r="B78" s="15" t="s">
        <v>50</v>
      </c>
      <c r="C78" s="18"/>
      <c r="D78" s="16">
        <v>499.28</v>
      </c>
      <c r="E78" s="17"/>
      <c r="F78" s="17">
        <v>159.09</v>
      </c>
      <c r="G78" s="17"/>
      <c r="H78" s="16">
        <v>454.71</v>
      </c>
      <c r="I78" s="17"/>
      <c r="J78" s="17">
        <v>159.09</v>
      </c>
      <c r="K78" s="17"/>
      <c r="L78" s="43">
        <v>454.48</v>
      </c>
      <c r="M78" s="17"/>
      <c r="N78" s="17">
        <v>159.09</v>
      </c>
      <c r="O78" s="17"/>
      <c r="P78" s="19"/>
    </row>
    <row r="79" ht="12" customHeight="1" spans="1:16">
      <c r="A79" s="14"/>
      <c r="B79" s="15"/>
      <c r="C79" s="18">
        <v>25</v>
      </c>
      <c r="D79" s="16"/>
      <c r="E79" s="17">
        <v>12491.72</v>
      </c>
      <c r="F79" s="17"/>
      <c r="G79" s="17">
        <v>3974.01</v>
      </c>
      <c r="H79" s="16"/>
      <c r="I79" s="17">
        <v>11630.94</v>
      </c>
      <c r="J79" s="17"/>
      <c r="K79" s="17">
        <v>3974</v>
      </c>
      <c r="L79" s="43"/>
      <c r="M79" s="17">
        <v>11630.94</v>
      </c>
      <c r="N79" s="17"/>
      <c r="O79" s="17">
        <v>3974</v>
      </c>
      <c r="P79" s="19">
        <f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500.06</v>
      </c>
      <c r="E80" s="17"/>
      <c r="F80" s="17">
        <v>158.83</v>
      </c>
      <c r="G80" s="17"/>
      <c r="H80" s="16">
        <v>475.76</v>
      </c>
      <c r="I80" s="17"/>
      <c r="J80" s="17">
        <v>158.83</v>
      </c>
      <c r="K80" s="17"/>
      <c r="L80" s="43">
        <v>477.45</v>
      </c>
      <c r="M80" s="17"/>
      <c r="N80" s="17">
        <v>158.83</v>
      </c>
      <c r="O80" s="17"/>
      <c r="P80" s="19"/>
    </row>
    <row r="81" ht="12" customHeight="1" spans="1:16">
      <c r="A81" s="14"/>
      <c r="B81" s="15"/>
      <c r="C81" s="18">
        <v>25</v>
      </c>
      <c r="D81" s="16"/>
      <c r="E81" s="17">
        <v>13382.06</v>
      </c>
      <c r="F81" s="17"/>
      <c r="G81" s="17">
        <v>3988.11</v>
      </c>
      <c r="H81" s="16"/>
      <c r="I81" s="17">
        <v>12946.24</v>
      </c>
      <c r="J81" s="17"/>
      <c r="K81" s="17">
        <v>3988.13</v>
      </c>
      <c r="L81" s="43"/>
      <c r="M81" s="17">
        <v>12946.24</v>
      </c>
      <c r="N81" s="17"/>
      <c r="O81" s="17">
        <v>3988.13</v>
      </c>
      <c r="P81" s="19">
        <f>I81+K81-M81-O81</f>
        <v>0</v>
      </c>
    </row>
    <row r="82" ht="12" customHeight="1" spans="1:16">
      <c r="A82" s="14">
        <v>37</v>
      </c>
      <c r="B82" s="15" t="s">
        <v>52</v>
      </c>
      <c r="C82" s="18"/>
      <c r="D82" s="16">
        <v>570.51</v>
      </c>
      <c r="E82" s="17"/>
      <c r="F82" s="17">
        <v>160.22</v>
      </c>
      <c r="G82" s="17"/>
      <c r="H82" s="16">
        <v>559.93</v>
      </c>
      <c r="I82" s="17"/>
      <c r="J82" s="17">
        <v>160.22</v>
      </c>
      <c r="K82" s="17"/>
      <c r="L82" s="43">
        <v>557.68</v>
      </c>
      <c r="M82" s="17"/>
      <c r="N82" s="17">
        <v>160.22</v>
      </c>
      <c r="O82" s="17"/>
      <c r="P82" s="19"/>
    </row>
    <row r="83" ht="12" customHeight="1" spans="1:16">
      <c r="A83" s="14"/>
      <c r="B83" s="15"/>
      <c r="C83" s="18">
        <v>25</v>
      </c>
      <c r="D83" s="16"/>
      <c r="E83" s="17">
        <v>14851.94</v>
      </c>
      <c r="F83" s="17"/>
      <c r="G83" s="17">
        <v>4041.96</v>
      </c>
      <c r="H83" s="16"/>
      <c r="I83" s="17">
        <v>14379.56</v>
      </c>
      <c r="J83" s="17"/>
      <c r="K83" s="17">
        <v>4042</v>
      </c>
      <c r="L83" s="43"/>
      <c r="M83" s="17">
        <f>(L82+L84)/2*25</f>
        <v>14372.375</v>
      </c>
      <c r="N83" s="17"/>
      <c r="O83" s="17">
        <v>4042</v>
      </c>
      <c r="P83" s="19">
        <f>I83+K83-M83-O83</f>
        <v>7.18499999999767</v>
      </c>
    </row>
    <row r="84" ht="12" customHeight="1" spans="1:16">
      <c r="A84" s="14">
        <v>38</v>
      </c>
      <c r="B84" s="15" t="s">
        <v>53</v>
      </c>
      <c r="C84" s="18"/>
      <c r="D84" s="16">
        <v>617.65</v>
      </c>
      <c r="E84" s="17"/>
      <c r="F84" s="17">
        <v>163.14</v>
      </c>
      <c r="G84" s="17"/>
      <c r="H84" s="16">
        <v>590.43</v>
      </c>
      <c r="I84" s="17"/>
      <c r="J84" s="17">
        <v>163.14</v>
      </c>
      <c r="K84" s="17"/>
      <c r="L84" s="43">
        <v>592.11</v>
      </c>
      <c r="M84" s="17"/>
      <c r="N84" s="17">
        <v>163.14</v>
      </c>
      <c r="O84" s="17"/>
      <c r="P84" s="19"/>
    </row>
    <row r="85" ht="12" customHeight="1" spans="1:16">
      <c r="A85" s="14"/>
      <c r="B85" s="15"/>
      <c r="C85" s="18">
        <v>25</v>
      </c>
      <c r="D85" s="16"/>
      <c r="E85" s="17">
        <v>15704.94</v>
      </c>
      <c r="F85" s="17"/>
      <c r="G85" s="17">
        <v>4099.58</v>
      </c>
      <c r="H85" s="16"/>
      <c r="I85" s="17">
        <v>15042.02</v>
      </c>
      <c r="J85" s="17"/>
      <c r="K85" s="17">
        <v>4099.63</v>
      </c>
      <c r="L85" s="43"/>
      <c r="M85" s="17">
        <v>15042.02</v>
      </c>
      <c r="N85" s="17"/>
      <c r="O85" s="17">
        <v>4099.63</v>
      </c>
      <c r="P85" s="19">
        <f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638.75</v>
      </c>
      <c r="E86" s="17"/>
      <c r="F86" s="17">
        <v>164.83</v>
      </c>
      <c r="G86" s="17"/>
      <c r="H86" s="16">
        <v>612.93</v>
      </c>
      <c r="I86" s="17"/>
      <c r="J86" s="17">
        <v>164.83</v>
      </c>
      <c r="K86" s="17"/>
      <c r="L86" s="43">
        <v>614.2</v>
      </c>
      <c r="M86" s="17"/>
      <c r="N86" s="17">
        <v>164.83</v>
      </c>
      <c r="O86" s="17"/>
      <c r="P86" s="19"/>
    </row>
    <row r="87" ht="12" customHeight="1" spans="1:16">
      <c r="A87" s="14"/>
      <c r="B87" s="15"/>
      <c r="C87" s="18">
        <v>25</v>
      </c>
      <c r="D87" s="16"/>
      <c r="E87" s="17">
        <v>16810.94</v>
      </c>
      <c r="F87" s="17"/>
      <c r="G87" s="17">
        <v>4132.14</v>
      </c>
      <c r="H87" s="16"/>
      <c r="I87" s="17">
        <v>15868.75</v>
      </c>
      <c r="J87" s="17"/>
      <c r="K87" s="17">
        <v>4132.13</v>
      </c>
      <c r="L87" s="43"/>
      <c r="M87" s="17">
        <f>(L86+L88)/2*25</f>
        <v>15865.25</v>
      </c>
      <c r="N87" s="17"/>
      <c r="O87" s="17">
        <v>4132.13</v>
      </c>
      <c r="P87" s="19">
        <f>I87+K87-M87-O87</f>
        <v>3.50000000000091</v>
      </c>
    </row>
    <row r="88" ht="12" customHeight="1" spans="1:16">
      <c r="A88" s="14">
        <v>40</v>
      </c>
      <c r="B88" s="15" t="s">
        <v>55</v>
      </c>
      <c r="C88" s="18"/>
      <c r="D88" s="16">
        <v>706.13</v>
      </c>
      <c r="E88" s="17"/>
      <c r="F88" s="17">
        <v>165.74</v>
      </c>
      <c r="G88" s="17"/>
      <c r="H88" s="16">
        <v>656.57</v>
      </c>
      <c r="I88" s="17"/>
      <c r="J88" s="17">
        <v>165.74</v>
      </c>
      <c r="K88" s="17"/>
      <c r="L88" s="43">
        <v>655.02</v>
      </c>
      <c r="M88" s="17"/>
      <c r="N88" s="17">
        <v>165.74</v>
      </c>
      <c r="O88" s="17"/>
      <c r="P88" s="19"/>
    </row>
    <row r="89" ht="12" customHeight="1" spans="1:16">
      <c r="A89" s="14"/>
      <c r="B89" s="15"/>
      <c r="C89" s="18">
        <v>25</v>
      </c>
      <c r="D89" s="16"/>
      <c r="E89" s="17">
        <v>18302.22</v>
      </c>
      <c r="F89" s="17"/>
      <c r="G89" s="17">
        <v>4222.08</v>
      </c>
      <c r="H89" s="16"/>
      <c r="I89" s="17">
        <v>16752.17</v>
      </c>
      <c r="J89" s="17"/>
      <c r="K89" s="17">
        <v>4222</v>
      </c>
      <c r="L89" s="43"/>
      <c r="M89" s="17">
        <f>(L88+L90)/2*25</f>
        <v>15395</v>
      </c>
      <c r="N89" s="17"/>
      <c r="O89" s="17">
        <v>4222</v>
      </c>
      <c r="P89" s="19">
        <f>I89+K89-M89-O89</f>
        <v>1357.17</v>
      </c>
    </row>
    <row r="90" ht="12" customHeight="1" spans="1:16">
      <c r="A90" s="14">
        <v>41</v>
      </c>
      <c r="B90" s="15" t="s">
        <v>56</v>
      </c>
      <c r="C90" s="18"/>
      <c r="D90" s="16">
        <v>758.05</v>
      </c>
      <c r="E90" s="17"/>
      <c r="F90" s="17">
        <v>172.02</v>
      </c>
      <c r="G90" s="17"/>
      <c r="H90" s="16">
        <v>683.61</v>
      </c>
      <c r="I90" s="17"/>
      <c r="J90" s="17">
        <v>172.02</v>
      </c>
      <c r="K90" s="17"/>
      <c r="L90" s="43">
        <v>576.58</v>
      </c>
      <c r="M90" s="17"/>
      <c r="N90" s="17">
        <v>172.02</v>
      </c>
      <c r="O90" s="17"/>
      <c r="P90" s="19"/>
    </row>
    <row r="91" ht="12" customHeight="1" spans="1:16">
      <c r="A91" s="14"/>
      <c r="B91" s="15"/>
      <c r="C91" s="18">
        <v>25</v>
      </c>
      <c r="D91" s="16"/>
      <c r="E91" s="17">
        <v>18887.62</v>
      </c>
      <c r="F91" s="17"/>
      <c r="G91" s="17">
        <v>4235.52</v>
      </c>
      <c r="H91" s="16"/>
      <c r="I91" s="17">
        <v>16791.55</v>
      </c>
      <c r="J91" s="17"/>
      <c r="K91" s="17">
        <v>4235.5</v>
      </c>
      <c r="L91" s="43"/>
      <c r="M91" s="17">
        <f>(L90+L92)/2*25</f>
        <v>14173.125</v>
      </c>
      <c r="N91" s="17"/>
      <c r="O91" s="17">
        <v>4235.5</v>
      </c>
      <c r="P91" s="19">
        <f>I91+K91-M91-O91</f>
        <v>2618.425</v>
      </c>
    </row>
    <row r="92" ht="12" customHeight="1" spans="1:16">
      <c r="A92" s="14">
        <v>42</v>
      </c>
      <c r="B92" s="15" t="s">
        <v>57</v>
      </c>
      <c r="C92" s="18"/>
      <c r="D92" s="16">
        <v>752.96</v>
      </c>
      <c r="E92" s="17"/>
      <c r="F92" s="17">
        <v>166.82</v>
      </c>
      <c r="G92" s="17"/>
      <c r="H92" s="16">
        <v>659.72</v>
      </c>
      <c r="I92" s="17"/>
      <c r="J92" s="17">
        <v>166.82</v>
      </c>
      <c r="K92" s="17"/>
      <c r="L92" s="43">
        <v>557.27</v>
      </c>
      <c r="M92" s="17"/>
      <c r="N92" s="17">
        <v>166.82</v>
      </c>
      <c r="O92" s="17"/>
      <c r="P92" s="19"/>
    </row>
    <row r="93" ht="12" customHeight="1" spans="1:16">
      <c r="A93" s="14"/>
      <c r="B93" s="15"/>
      <c r="C93" s="18">
        <v>25</v>
      </c>
      <c r="D93" s="16"/>
      <c r="E93" s="17">
        <v>19144.84</v>
      </c>
      <c r="F93" s="17"/>
      <c r="G93" s="17">
        <v>4232.2</v>
      </c>
      <c r="H93" s="16"/>
      <c r="I93" s="17">
        <v>16966.69</v>
      </c>
      <c r="J93" s="17"/>
      <c r="K93" s="17">
        <v>4232.25</v>
      </c>
      <c r="L93" s="43"/>
      <c r="M93" s="17">
        <f>(L92+L94)/2*25</f>
        <v>14721.25</v>
      </c>
      <c r="N93" s="17"/>
      <c r="O93" s="17">
        <v>4232.25</v>
      </c>
      <c r="P93" s="19">
        <f>I93+K93-M93-O93</f>
        <v>2245.44</v>
      </c>
    </row>
    <row r="94" ht="12" customHeight="1" spans="1:16">
      <c r="A94" s="14">
        <v>43</v>
      </c>
      <c r="B94" s="15" t="s">
        <v>58</v>
      </c>
      <c r="C94" s="18"/>
      <c r="D94" s="16">
        <v>778.63</v>
      </c>
      <c r="E94" s="17"/>
      <c r="F94" s="17">
        <v>171.76</v>
      </c>
      <c r="G94" s="17"/>
      <c r="H94" s="16">
        <v>697.62</v>
      </c>
      <c r="I94" s="17"/>
      <c r="J94" s="17">
        <v>171.76</v>
      </c>
      <c r="K94" s="17"/>
      <c r="L94" s="43">
        <v>620.43</v>
      </c>
      <c r="M94" s="17"/>
      <c r="N94" s="17">
        <v>171.76</v>
      </c>
      <c r="O94" s="17"/>
      <c r="P94" s="19"/>
    </row>
    <row r="95" ht="12" customHeight="1" spans="1:16">
      <c r="A95" s="14"/>
      <c r="B95" s="15"/>
      <c r="C95" s="18">
        <v>25</v>
      </c>
      <c r="D95" s="16"/>
      <c r="E95" s="17">
        <v>19419.43</v>
      </c>
      <c r="F95" s="17"/>
      <c r="G95" s="17">
        <v>4282.07</v>
      </c>
      <c r="H95" s="16"/>
      <c r="I95" s="17">
        <v>17471.43</v>
      </c>
      <c r="J95" s="17"/>
      <c r="K95" s="17">
        <v>4282.13</v>
      </c>
      <c r="L95" s="43"/>
      <c r="M95" s="17">
        <f>(L94+L96)/2*25</f>
        <v>15718.625</v>
      </c>
      <c r="N95" s="17"/>
      <c r="O95" s="17">
        <v>4282.13</v>
      </c>
      <c r="P95" s="19">
        <f>I95+K95-M95-O95</f>
        <v>1752.805</v>
      </c>
    </row>
    <row r="96" ht="12" customHeight="1" spans="1:16">
      <c r="A96" s="14">
        <v>44</v>
      </c>
      <c r="B96" s="15" t="s">
        <v>59</v>
      </c>
      <c r="C96" s="18"/>
      <c r="D96" s="16">
        <v>774.93</v>
      </c>
      <c r="E96" s="17"/>
      <c r="F96" s="17">
        <v>170.81</v>
      </c>
      <c r="G96" s="17"/>
      <c r="H96" s="16">
        <v>700.1</v>
      </c>
      <c r="I96" s="17"/>
      <c r="J96" s="17">
        <v>170.81</v>
      </c>
      <c r="K96" s="17"/>
      <c r="L96" s="43">
        <v>637.06</v>
      </c>
      <c r="M96" s="17"/>
      <c r="N96" s="17">
        <v>170.81</v>
      </c>
      <c r="O96" s="17"/>
      <c r="P96" s="19"/>
    </row>
    <row r="97" ht="12" customHeight="1" spans="1:16">
      <c r="A97" s="14"/>
      <c r="B97" s="15"/>
      <c r="C97" s="18">
        <v>25</v>
      </c>
      <c r="D97" s="16"/>
      <c r="E97" s="17">
        <v>19417.54</v>
      </c>
      <c r="F97" s="17"/>
      <c r="G97" s="17">
        <v>4240</v>
      </c>
      <c r="H97" s="16"/>
      <c r="I97" s="17">
        <v>18427.97</v>
      </c>
      <c r="J97" s="17"/>
      <c r="K97" s="17">
        <v>4240</v>
      </c>
      <c r="L97" s="43"/>
      <c r="M97" s="17">
        <f>(L96+L98)/2*25</f>
        <v>16347</v>
      </c>
      <c r="N97" s="17"/>
      <c r="O97" s="17">
        <v>4240</v>
      </c>
      <c r="P97" s="19">
        <f>I97+K97-M97-O97</f>
        <v>2080.97</v>
      </c>
    </row>
    <row r="98" ht="12" customHeight="1" spans="1:16">
      <c r="A98" s="14">
        <v>45</v>
      </c>
      <c r="B98" s="15" t="s">
        <v>60</v>
      </c>
      <c r="C98" s="18"/>
      <c r="D98" s="16">
        <v>778.48</v>
      </c>
      <c r="E98" s="17"/>
      <c r="F98" s="17">
        <v>168.39</v>
      </c>
      <c r="G98" s="17"/>
      <c r="H98" s="16">
        <v>774.14</v>
      </c>
      <c r="I98" s="17"/>
      <c r="J98" s="17">
        <v>168.39</v>
      </c>
      <c r="K98" s="17"/>
      <c r="L98" s="43">
        <v>670.7</v>
      </c>
      <c r="M98" s="17"/>
      <c r="N98" s="17">
        <v>168.39</v>
      </c>
      <c r="O98" s="17"/>
      <c r="P98" s="19"/>
    </row>
    <row r="99" ht="12" customHeight="1" spans="1:16">
      <c r="A99" s="14"/>
      <c r="B99" s="15"/>
      <c r="C99" s="18">
        <v>25</v>
      </c>
      <c r="D99" s="16"/>
      <c r="E99" s="17">
        <v>18868.34</v>
      </c>
      <c r="F99" s="17"/>
      <c r="G99" s="17">
        <v>3856.37</v>
      </c>
      <c r="H99" s="16"/>
      <c r="I99" s="17">
        <v>18779.38</v>
      </c>
      <c r="J99" s="17"/>
      <c r="K99" s="17">
        <v>3856.38</v>
      </c>
      <c r="L99" s="43"/>
      <c r="M99" s="17">
        <f>(L98+L100)/2*25</f>
        <v>16269.125</v>
      </c>
      <c r="N99" s="17"/>
      <c r="O99" s="17">
        <v>3856.38</v>
      </c>
      <c r="P99" s="19">
        <f>I99+K99-M99-O99</f>
        <v>2510.255</v>
      </c>
    </row>
    <row r="100" ht="12" customHeight="1" spans="1:16">
      <c r="A100" s="14">
        <v>46</v>
      </c>
      <c r="B100" s="15" t="s">
        <v>61</v>
      </c>
      <c r="C100" s="18"/>
      <c r="D100" s="16">
        <v>730.99</v>
      </c>
      <c r="E100" s="17"/>
      <c r="F100" s="17">
        <v>140.12</v>
      </c>
      <c r="G100" s="17"/>
      <c r="H100" s="16">
        <v>728.21</v>
      </c>
      <c r="I100" s="17"/>
      <c r="J100" s="17">
        <v>140.12</v>
      </c>
      <c r="K100" s="17"/>
      <c r="L100" s="43">
        <v>630.83</v>
      </c>
      <c r="M100" s="17"/>
      <c r="N100" s="17">
        <v>140.12</v>
      </c>
      <c r="O100" s="17"/>
      <c r="P100" s="19"/>
    </row>
    <row r="101" ht="12" customHeight="1" spans="1:16">
      <c r="A101" s="14"/>
      <c r="B101" s="15"/>
      <c r="C101" s="18">
        <v>25</v>
      </c>
      <c r="D101" s="16"/>
      <c r="E101" s="17">
        <v>17760.36</v>
      </c>
      <c r="F101" s="17"/>
      <c r="G101" s="17">
        <v>3331.31</v>
      </c>
      <c r="H101" s="16"/>
      <c r="I101" s="17">
        <v>17725.63</v>
      </c>
      <c r="J101" s="17"/>
      <c r="K101" s="17">
        <v>3331.38</v>
      </c>
      <c r="L101" s="43"/>
      <c r="M101" s="17">
        <f>(L100+L102)/2*25</f>
        <v>15559.625</v>
      </c>
      <c r="N101" s="17"/>
      <c r="O101" s="17">
        <v>3331.38</v>
      </c>
      <c r="P101" s="19">
        <f>I101+K101-M101-O101</f>
        <v>2166.005</v>
      </c>
    </row>
    <row r="102" ht="12" customHeight="1" spans="1:16">
      <c r="A102" s="14">
        <v>47</v>
      </c>
      <c r="B102" s="15" t="s">
        <v>62</v>
      </c>
      <c r="C102" s="18"/>
      <c r="D102" s="16">
        <v>689.84</v>
      </c>
      <c r="E102" s="17"/>
      <c r="F102" s="17">
        <v>126.39</v>
      </c>
      <c r="G102" s="17"/>
      <c r="H102" s="16">
        <v>689.84</v>
      </c>
      <c r="I102" s="17"/>
      <c r="J102" s="17">
        <v>126.39</v>
      </c>
      <c r="K102" s="17"/>
      <c r="L102" s="43">
        <v>613.94</v>
      </c>
      <c r="M102" s="17"/>
      <c r="N102" s="17">
        <v>126.39</v>
      </c>
      <c r="O102" s="17"/>
      <c r="P102" s="19"/>
    </row>
    <row r="103" ht="12" customHeight="1" spans="1:16">
      <c r="A103" s="14"/>
      <c r="B103" s="15"/>
      <c r="C103" s="18">
        <v>25</v>
      </c>
      <c r="D103" s="16"/>
      <c r="E103" s="17">
        <v>16438</v>
      </c>
      <c r="F103" s="17"/>
      <c r="G103" s="17">
        <v>3005.26</v>
      </c>
      <c r="H103" s="16"/>
      <c r="I103" s="17">
        <v>16438</v>
      </c>
      <c r="J103" s="17"/>
      <c r="K103" s="17">
        <v>3005.26</v>
      </c>
      <c r="L103" s="43"/>
      <c r="M103" s="17">
        <f>(L102+L104)/2*25</f>
        <v>14767.25</v>
      </c>
      <c r="N103" s="17"/>
      <c r="O103" s="17">
        <v>3005.26</v>
      </c>
      <c r="P103" s="19">
        <f>I103+K103-M103-O103</f>
        <v>1670.75</v>
      </c>
    </row>
    <row r="104" ht="12" customHeight="1" spans="1:16">
      <c r="A104" s="14">
        <v>48</v>
      </c>
      <c r="B104" s="15" t="s">
        <v>63</v>
      </c>
      <c r="C104" s="18"/>
      <c r="D104" s="16">
        <v>625.2</v>
      </c>
      <c r="E104" s="17"/>
      <c r="F104" s="17">
        <v>114.03</v>
      </c>
      <c r="G104" s="17"/>
      <c r="H104" s="16">
        <v>625.2</v>
      </c>
      <c r="I104" s="17"/>
      <c r="J104" s="17">
        <v>114.03</v>
      </c>
      <c r="K104" s="17"/>
      <c r="L104" s="43">
        <v>567.44</v>
      </c>
      <c r="M104" s="17"/>
      <c r="N104" s="17">
        <v>114.03</v>
      </c>
      <c r="O104" s="17"/>
      <c r="P104" s="19"/>
    </row>
    <row r="105" ht="12" customHeight="1" spans="1:16">
      <c r="A105" s="14"/>
      <c r="B105" s="15"/>
      <c r="C105" s="18">
        <v>25</v>
      </c>
      <c r="D105" s="16"/>
      <c r="E105" s="17">
        <v>15085.78</v>
      </c>
      <c r="F105" s="17"/>
      <c r="G105" s="17">
        <v>2843.09</v>
      </c>
      <c r="H105" s="16"/>
      <c r="I105" s="17">
        <v>15085.78</v>
      </c>
      <c r="J105" s="17"/>
      <c r="K105" s="17">
        <v>2843.09</v>
      </c>
      <c r="L105" s="43"/>
      <c r="M105" s="17">
        <f>(L104+L106)/2*25</f>
        <v>13981</v>
      </c>
      <c r="N105" s="17"/>
      <c r="O105" s="17">
        <v>2843.09</v>
      </c>
      <c r="P105" s="19">
        <f>I105+K105-M105-O105</f>
        <v>1104.78</v>
      </c>
    </row>
    <row r="106" ht="12" customHeight="1" spans="1:16">
      <c r="A106" s="14">
        <v>49</v>
      </c>
      <c r="B106" s="15" t="s">
        <v>64</v>
      </c>
      <c r="C106" s="18"/>
      <c r="D106" s="16">
        <v>581.66</v>
      </c>
      <c r="E106" s="17"/>
      <c r="F106" s="17">
        <v>113.41</v>
      </c>
      <c r="G106" s="17"/>
      <c r="H106" s="16">
        <v>581.66</v>
      </c>
      <c r="I106" s="17"/>
      <c r="J106" s="17">
        <v>113.41</v>
      </c>
      <c r="K106" s="17"/>
      <c r="L106" s="43">
        <v>551.04</v>
      </c>
      <c r="M106" s="17"/>
      <c r="N106" s="17">
        <v>113.41</v>
      </c>
      <c r="O106" s="17"/>
      <c r="P106" s="19"/>
    </row>
    <row r="107" ht="12" customHeight="1" spans="1:16">
      <c r="A107" s="14"/>
      <c r="B107" s="15"/>
      <c r="C107" s="18">
        <v>25</v>
      </c>
      <c r="D107" s="16"/>
      <c r="E107" s="17">
        <v>13775.68</v>
      </c>
      <c r="F107" s="17"/>
      <c r="G107" s="17">
        <v>3108.07</v>
      </c>
      <c r="H107" s="16"/>
      <c r="I107" s="17">
        <v>13775.68</v>
      </c>
      <c r="J107" s="17"/>
      <c r="K107" s="17">
        <v>3108.07</v>
      </c>
      <c r="L107" s="43"/>
      <c r="M107" s="17">
        <f>(L106+L108)/2*25</f>
        <v>13392.875</v>
      </c>
      <c r="N107" s="17"/>
      <c r="O107" s="17">
        <v>3108.07</v>
      </c>
      <c r="P107" s="19">
        <f>I107+K107-M107-O107</f>
        <v>382.805000000002</v>
      </c>
    </row>
    <row r="108" ht="12" customHeight="1" spans="1:16">
      <c r="A108" s="14">
        <v>50</v>
      </c>
      <c r="B108" s="15" t="s">
        <v>65</v>
      </c>
      <c r="C108" s="18"/>
      <c r="D108" s="16">
        <v>520.39</v>
      </c>
      <c r="E108" s="17"/>
      <c r="F108" s="17">
        <v>135.23</v>
      </c>
      <c r="G108" s="17"/>
      <c r="H108" s="16">
        <v>520.39</v>
      </c>
      <c r="I108" s="17"/>
      <c r="J108" s="17">
        <v>135.23</v>
      </c>
      <c r="K108" s="17"/>
      <c r="L108" s="43">
        <v>520.39</v>
      </c>
      <c r="M108" s="17"/>
      <c r="N108" s="17">
        <v>135.23</v>
      </c>
      <c r="O108" s="17"/>
      <c r="P108" s="19"/>
    </row>
    <row r="109" ht="12" customHeight="1" spans="1:16">
      <c r="A109" s="14"/>
      <c r="B109" s="15"/>
      <c r="C109" s="18">
        <v>25</v>
      </c>
      <c r="D109" s="16"/>
      <c r="E109" s="17">
        <v>13810.93</v>
      </c>
      <c r="F109" s="17"/>
      <c r="G109" s="17">
        <v>3329.12</v>
      </c>
      <c r="H109" s="16"/>
      <c r="I109" s="17">
        <v>13810.93</v>
      </c>
      <c r="J109" s="17"/>
      <c r="K109" s="17">
        <v>3329.12</v>
      </c>
      <c r="L109" s="43"/>
      <c r="M109" s="17">
        <f>(L108+L110)/2*25</f>
        <v>13611</v>
      </c>
      <c r="N109" s="17"/>
      <c r="O109" s="17">
        <v>3329.12</v>
      </c>
      <c r="P109" s="19">
        <f>I109+K109-M109-O109</f>
        <v>199.929999999998</v>
      </c>
    </row>
    <row r="110" ht="12" customHeight="1" spans="1:16">
      <c r="A110" s="14">
        <v>51</v>
      </c>
      <c r="B110" s="15" t="s">
        <v>66</v>
      </c>
      <c r="C110" s="18"/>
      <c r="D110" s="16">
        <v>584.48</v>
      </c>
      <c r="E110" s="17"/>
      <c r="F110" s="17">
        <v>131.1</v>
      </c>
      <c r="G110" s="17"/>
      <c r="H110" s="16">
        <v>584.48</v>
      </c>
      <c r="I110" s="17"/>
      <c r="J110" s="17">
        <v>131.1</v>
      </c>
      <c r="K110" s="17"/>
      <c r="L110" s="43">
        <v>568.49</v>
      </c>
      <c r="M110" s="17"/>
      <c r="N110" s="17">
        <v>131.1</v>
      </c>
      <c r="O110" s="17"/>
      <c r="P110" s="19"/>
    </row>
    <row r="111" ht="12" customHeight="1" spans="1:16">
      <c r="A111" s="14"/>
      <c r="B111" s="15"/>
      <c r="C111" s="18">
        <v>25</v>
      </c>
      <c r="D111" s="16"/>
      <c r="E111" s="17">
        <v>13475.64</v>
      </c>
      <c r="F111" s="17"/>
      <c r="G111" s="17">
        <v>3219.55</v>
      </c>
      <c r="H111" s="16"/>
      <c r="I111" s="17">
        <v>13475.64</v>
      </c>
      <c r="J111" s="17"/>
      <c r="K111" s="17">
        <v>3219.55</v>
      </c>
      <c r="L111" s="43"/>
      <c r="M111" s="17">
        <f>(L110+L112)/2*25</f>
        <v>13275.75</v>
      </c>
      <c r="N111" s="17"/>
      <c r="O111" s="17">
        <v>3219.55</v>
      </c>
      <c r="P111" s="19">
        <f>I111+K111-M111-O111</f>
        <v>199.889999999999</v>
      </c>
    </row>
    <row r="112" ht="12" customHeight="1" spans="1:16">
      <c r="A112" s="14">
        <v>52</v>
      </c>
      <c r="B112" s="15" t="s">
        <v>67</v>
      </c>
      <c r="C112" s="18"/>
      <c r="D112" s="16">
        <v>493.57</v>
      </c>
      <c r="E112" s="17"/>
      <c r="F112" s="17">
        <v>126.47</v>
      </c>
      <c r="G112" s="17"/>
      <c r="H112" s="16">
        <v>493.57</v>
      </c>
      <c r="I112" s="17"/>
      <c r="J112" s="17">
        <v>126.47</v>
      </c>
      <c r="K112" s="17"/>
      <c r="L112" s="43">
        <v>493.57</v>
      </c>
      <c r="M112" s="17"/>
      <c r="N112" s="17">
        <v>126.47</v>
      </c>
      <c r="O112" s="17"/>
      <c r="P112" s="19"/>
    </row>
    <row r="113" ht="12" customHeight="1" spans="1:16">
      <c r="A113" s="14"/>
      <c r="B113" s="15"/>
      <c r="C113" s="18">
        <v>25</v>
      </c>
      <c r="D113" s="16"/>
      <c r="E113" s="17">
        <v>11691.43</v>
      </c>
      <c r="F113" s="17"/>
      <c r="G113" s="17">
        <v>2642.16</v>
      </c>
      <c r="H113" s="16"/>
      <c r="I113" s="17">
        <v>11691.43</v>
      </c>
      <c r="J113" s="17"/>
      <c r="K113" s="17">
        <v>2642.16</v>
      </c>
      <c r="L113" s="43"/>
      <c r="M113" s="17">
        <v>11691.43</v>
      </c>
      <c r="N113" s="17"/>
      <c r="O113" s="17">
        <v>2642.16</v>
      </c>
      <c r="P113" s="19">
        <f>I113+K113-M113-O113</f>
        <v>0</v>
      </c>
    </row>
    <row r="114" ht="12" customHeight="1" spans="1:16">
      <c r="A114" s="14">
        <v>53</v>
      </c>
      <c r="B114" s="15" t="s">
        <v>68</v>
      </c>
      <c r="C114" s="18"/>
      <c r="D114" s="16">
        <v>441.74</v>
      </c>
      <c r="E114" s="17"/>
      <c r="F114" s="17">
        <v>84.91</v>
      </c>
      <c r="G114" s="17"/>
      <c r="H114" s="16">
        <v>441.74</v>
      </c>
      <c r="I114" s="17"/>
      <c r="J114" s="17">
        <v>84.91</v>
      </c>
      <c r="K114" s="17"/>
      <c r="L114" s="43">
        <v>441.74</v>
      </c>
      <c r="M114" s="17"/>
      <c r="N114" s="17">
        <v>84.91</v>
      </c>
      <c r="O114" s="17"/>
      <c r="P114" s="19"/>
    </row>
    <row r="115" ht="12" customHeight="1" spans="1:16">
      <c r="A115" s="14"/>
      <c r="B115" s="15"/>
      <c r="C115" s="18">
        <v>25</v>
      </c>
      <c r="D115" s="16"/>
      <c r="E115" s="17">
        <v>10719.8</v>
      </c>
      <c r="F115" s="17"/>
      <c r="G115" s="17">
        <v>1982.11</v>
      </c>
      <c r="H115" s="16"/>
      <c r="I115" s="17">
        <v>10719.8</v>
      </c>
      <c r="J115" s="17"/>
      <c r="K115" s="17">
        <v>1982.11</v>
      </c>
      <c r="L115" s="43"/>
      <c r="M115" s="17">
        <v>10719.8</v>
      </c>
      <c r="N115" s="17"/>
      <c r="O115" s="17">
        <v>1982.11</v>
      </c>
      <c r="P115" s="19">
        <f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415.84</v>
      </c>
      <c r="E116" s="17"/>
      <c r="F116" s="17">
        <v>73.66</v>
      </c>
      <c r="G116" s="17"/>
      <c r="H116" s="16">
        <v>415.84</v>
      </c>
      <c r="I116" s="17"/>
      <c r="J116" s="17">
        <v>73.66</v>
      </c>
      <c r="K116" s="17"/>
      <c r="L116" s="43">
        <v>415.84</v>
      </c>
      <c r="M116" s="17"/>
      <c r="N116" s="17">
        <v>73.66</v>
      </c>
      <c r="O116" s="17"/>
      <c r="P116" s="19"/>
    </row>
    <row r="117" ht="12" customHeight="1" spans="1:16">
      <c r="A117" s="14"/>
      <c r="B117" s="15"/>
      <c r="C117" s="18">
        <v>25</v>
      </c>
      <c r="D117" s="16"/>
      <c r="E117" s="17">
        <v>11587.4</v>
      </c>
      <c r="F117" s="17"/>
      <c r="G117" s="17">
        <v>2040.93</v>
      </c>
      <c r="H117" s="16"/>
      <c r="I117" s="17">
        <v>11587.4</v>
      </c>
      <c r="J117" s="17"/>
      <c r="K117" s="17">
        <v>2040.93</v>
      </c>
      <c r="L117" s="43"/>
      <c r="M117" s="17">
        <v>11587.4</v>
      </c>
      <c r="N117" s="17"/>
      <c r="O117" s="17">
        <v>2040.93</v>
      </c>
      <c r="P117" s="19">
        <f>I117+K117-M117-O117</f>
        <v>0</v>
      </c>
    </row>
    <row r="118" ht="12" customHeight="1" spans="1:16">
      <c r="A118" s="14">
        <v>55</v>
      </c>
      <c r="B118" s="15" t="s">
        <v>70</v>
      </c>
      <c r="C118" s="18"/>
      <c r="D118" s="16">
        <v>511.15</v>
      </c>
      <c r="E118" s="17"/>
      <c r="F118" s="17">
        <v>89.61</v>
      </c>
      <c r="G118" s="17"/>
      <c r="H118" s="16">
        <v>511.15</v>
      </c>
      <c r="I118" s="17"/>
      <c r="J118" s="17">
        <v>89.61</v>
      </c>
      <c r="K118" s="17"/>
      <c r="L118" s="43">
        <v>511.15</v>
      </c>
      <c r="M118" s="17"/>
      <c r="N118" s="17">
        <v>89.61</v>
      </c>
      <c r="O118" s="17"/>
      <c r="P118" s="19"/>
    </row>
    <row r="119" ht="12" customHeight="1" spans="1:16">
      <c r="A119" s="14"/>
      <c r="B119" s="15"/>
      <c r="C119" s="18">
        <v>25</v>
      </c>
      <c r="D119" s="16"/>
      <c r="E119" s="17">
        <v>12994.06</v>
      </c>
      <c r="F119" s="17"/>
      <c r="G119" s="17">
        <v>2746.02</v>
      </c>
      <c r="H119" s="16"/>
      <c r="I119" s="17">
        <v>12994.06</v>
      </c>
      <c r="J119" s="17"/>
      <c r="K119" s="17">
        <v>2746.02</v>
      </c>
      <c r="L119" s="43"/>
      <c r="M119" s="17">
        <v>12994.06</v>
      </c>
      <c r="N119" s="17"/>
      <c r="O119" s="17">
        <v>2746.02</v>
      </c>
      <c r="P119" s="19">
        <f>I119+K119-M119-O119</f>
        <v>0</v>
      </c>
    </row>
    <row r="120" ht="12" customHeight="1" spans="1:16">
      <c r="A120" s="14">
        <v>56</v>
      </c>
      <c r="B120" s="15" t="s">
        <v>71</v>
      </c>
      <c r="C120" s="18"/>
      <c r="D120" s="16">
        <v>528.37</v>
      </c>
      <c r="E120" s="17"/>
      <c r="F120" s="17">
        <v>130.07</v>
      </c>
      <c r="G120" s="17"/>
      <c r="H120" s="16">
        <v>528.37</v>
      </c>
      <c r="I120" s="17"/>
      <c r="J120" s="17">
        <v>130.07</v>
      </c>
      <c r="K120" s="17"/>
      <c r="L120" s="43">
        <v>528.37</v>
      </c>
      <c r="M120" s="17"/>
      <c r="N120" s="17">
        <v>130.07</v>
      </c>
      <c r="O120" s="17"/>
      <c r="P120" s="19"/>
    </row>
    <row r="121" ht="12" customHeight="1" spans="1:16">
      <c r="A121" s="14"/>
      <c r="B121" s="15"/>
      <c r="C121" s="18">
        <v>25</v>
      </c>
      <c r="D121" s="16"/>
      <c r="E121" s="17">
        <v>13700.86</v>
      </c>
      <c r="F121" s="17"/>
      <c r="G121" s="17">
        <v>3297.31</v>
      </c>
      <c r="H121" s="16"/>
      <c r="I121" s="17">
        <v>13700.86</v>
      </c>
      <c r="J121" s="17"/>
      <c r="K121" s="17">
        <v>3297.31</v>
      </c>
      <c r="L121" s="43"/>
      <c r="M121" s="17">
        <v>13700.86</v>
      </c>
      <c r="N121" s="17"/>
      <c r="O121" s="17">
        <v>3297.31</v>
      </c>
      <c r="P121" s="19">
        <f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567.7</v>
      </c>
      <c r="E122" s="17"/>
      <c r="F122" s="17">
        <v>133.72</v>
      </c>
      <c r="G122" s="17"/>
      <c r="H122" s="16">
        <v>567.7</v>
      </c>
      <c r="I122" s="17"/>
      <c r="J122" s="17">
        <v>133.72</v>
      </c>
      <c r="K122" s="17"/>
      <c r="L122" s="43">
        <v>567.7</v>
      </c>
      <c r="M122" s="17"/>
      <c r="N122" s="17">
        <v>133.72</v>
      </c>
      <c r="O122" s="17"/>
      <c r="P122" s="19"/>
    </row>
    <row r="123" ht="12" customHeight="1" spans="1:16">
      <c r="A123" s="14"/>
      <c r="B123" s="15"/>
      <c r="C123" s="18">
        <v>25</v>
      </c>
      <c r="D123" s="16"/>
      <c r="E123" s="17">
        <v>15679.32</v>
      </c>
      <c r="F123" s="17"/>
      <c r="G123" s="17">
        <v>3764.49</v>
      </c>
      <c r="H123" s="16"/>
      <c r="I123" s="17">
        <v>15679.32</v>
      </c>
      <c r="J123" s="17"/>
      <c r="K123" s="17">
        <v>3764.49</v>
      </c>
      <c r="L123" s="43"/>
      <c r="M123" s="17">
        <v>15679.32</v>
      </c>
      <c r="N123" s="17"/>
      <c r="O123" s="17">
        <v>3764.49</v>
      </c>
      <c r="P123" s="19">
        <f>I123+K123-M123-O123</f>
        <v>0</v>
      </c>
    </row>
    <row r="124" ht="12" customHeight="1" spans="1:16">
      <c r="A124" s="14">
        <v>58</v>
      </c>
      <c r="B124" s="15" t="s">
        <v>73</v>
      </c>
      <c r="C124" s="18"/>
      <c r="D124" s="16">
        <v>686.65</v>
      </c>
      <c r="E124" s="17"/>
      <c r="F124" s="17">
        <v>167.44</v>
      </c>
      <c r="G124" s="17"/>
      <c r="H124" s="16">
        <v>686.65</v>
      </c>
      <c r="I124" s="17"/>
      <c r="J124" s="17">
        <v>167.44</v>
      </c>
      <c r="K124" s="17"/>
      <c r="L124" s="43">
        <v>686.65</v>
      </c>
      <c r="M124" s="17"/>
      <c r="N124" s="17">
        <v>167.44</v>
      </c>
      <c r="O124" s="17"/>
      <c r="P124" s="19"/>
    </row>
    <row r="125" ht="12" customHeight="1" spans="1:16">
      <c r="A125" s="14"/>
      <c r="B125" s="15"/>
      <c r="C125" s="18">
        <v>25</v>
      </c>
      <c r="D125" s="16"/>
      <c r="E125" s="17">
        <v>16794.37</v>
      </c>
      <c r="F125" s="17"/>
      <c r="G125" s="17">
        <v>4243</v>
      </c>
      <c r="H125" s="16"/>
      <c r="I125" s="17">
        <v>16794.37</v>
      </c>
      <c r="J125" s="17"/>
      <c r="K125" s="17">
        <v>4243</v>
      </c>
      <c r="L125" s="43"/>
      <c r="M125" s="17">
        <v>16794.37</v>
      </c>
      <c r="N125" s="17"/>
      <c r="O125" s="17">
        <v>4243</v>
      </c>
      <c r="P125" s="19">
        <f>I125+K125-M125-O125</f>
        <v>0</v>
      </c>
    </row>
    <row r="126" ht="12" customHeight="1" spans="1:16">
      <c r="A126" s="14">
        <v>59</v>
      </c>
      <c r="B126" s="15" t="s">
        <v>74</v>
      </c>
      <c r="C126" s="18"/>
      <c r="D126" s="16">
        <v>656.9</v>
      </c>
      <c r="E126" s="17"/>
      <c r="F126" s="17">
        <v>172</v>
      </c>
      <c r="G126" s="17"/>
      <c r="H126" s="16">
        <v>656.9</v>
      </c>
      <c r="I126" s="17"/>
      <c r="J126" s="17">
        <v>172</v>
      </c>
      <c r="K126" s="17"/>
      <c r="L126" s="43">
        <v>656.9</v>
      </c>
      <c r="M126" s="17"/>
      <c r="N126" s="17">
        <v>172</v>
      </c>
      <c r="O126" s="17"/>
      <c r="P126" s="19"/>
    </row>
    <row r="127" ht="12" customHeight="1" spans="1:16">
      <c r="A127" s="14"/>
      <c r="B127" s="15"/>
      <c r="C127" s="18">
        <v>25</v>
      </c>
      <c r="D127" s="16"/>
      <c r="E127" s="17">
        <v>16451.55</v>
      </c>
      <c r="F127" s="17"/>
      <c r="G127" s="17">
        <v>4350.64</v>
      </c>
      <c r="H127" s="16"/>
      <c r="I127" s="17">
        <v>16451.55</v>
      </c>
      <c r="J127" s="17"/>
      <c r="K127" s="17">
        <v>4350.64</v>
      </c>
      <c r="L127" s="43"/>
      <c r="M127" s="17">
        <v>16451.55</v>
      </c>
      <c r="N127" s="17"/>
      <c r="O127" s="17">
        <v>4350.64</v>
      </c>
      <c r="P127" s="19">
        <f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659.22</v>
      </c>
      <c r="E128" s="17"/>
      <c r="F128" s="17">
        <v>176.05</v>
      </c>
      <c r="G128" s="17"/>
      <c r="H128" s="16">
        <v>659.22</v>
      </c>
      <c r="I128" s="17"/>
      <c r="J128" s="17">
        <v>176.05</v>
      </c>
      <c r="K128" s="17"/>
      <c r="L128" s="43">
        <v>659.22</v>
      </c>
      <c r="M128" s="17"/>
      <c r="N128" s="17">
        <v>176.05</v>
      </c>
      <c r="O128" s="17"/>
      <c r="P128" s="19"/>
    </row>
    <row r="129" ht="12" customHeight="1" spans="1:16">
      <c r="A129" s="14"/>
      <c r="B129" s="15"/>
      <c r="C129" s="18">
        <v>25</v>
      </c>
      <c r="D129" s="16"/>
      <c r="E129" s="17">
        <v>15869.98</v>
      </c>
      <c r="F129" s="17"/>
      <c r="G129" s="17">
        <v>4370.79</v>
      </c>
      <c r="H129" s="16"/>
      <c r="I129" s="17">
        <v>15869.98</v>
      </c>
      <c r="J129" s="17"/>
      <c r="K129" s="17">
        <v>4370.79</v>
      </c>
      <c r="L129" s="43"/>
      <c r="M129" s="17">
        <v>15869.98</v>
      </c>
      <c r="N129" s="17"/>
      <c r="O129" s="17">
        <v>4370.79</v>
      </c>
      <c r="P129" s="19">
        <f>I129+K129-M129-O129</f>
        <v>0</v>
      </c>
    </row>
    <row r="130" ht="12" customHeight="1" spans="1:16">
      <c r="A130" s="14">
        <v>61</v>
      </c>
      <c r="B130" s="15" t="s">
        <v>76</v>
      </c>
      <c r="C130" s="18"/>
      <c r="D130" s="16">
        <v>610.37</v>
      </c>
      <c r="E130" s="17"/>
      <c r="F130" s="17">
        <v>173.61</v>
      </c>
      <c r="G130" s="17"/>
      <c r="H130" s="16">
        <v>610.37</v>
      </c>
      <c r="I130" s="17"/>
      <c r="J130" s="17">
        <v>173.61</v>
      </c>
      <c r="K130" s="17"/>
      <c r="L130" s="43">
        <v>610.37</v>
      </c>
      <c r="M130" s="17"/>
      <c r="N130" s="17">
        <v>173.61</v>
      </c>
      <c r="O130" s="17"/>
      <c r="P130" s="19"/>
    </row>
    <row r="131" ht="12" customHeight="1" spans="1:16">
      <c r="A131" s="14"/>
      <c r="B131" s="15"/>
      <c r="C131" s="18">
        <v>25</v>
      </c>
      <c r="D131" s="16"/>
      <c r="E131" s="17">
        <v>13982.92</v>
      </c>
      <c r="F131" s="17"/>
      <c r="G131" s="17">
        <v>4319.88</v>
      </c>
      <c r="H131" s="16"/>
      <c r="I131" s="17">
        <v>13982.92</v>
      </c>
      <c r="J131" s="17"/>
      <c r="K131" s="17">
        <v>4319.88</v>
      </c>
      <c r="L131" s="43"/>
      <c r="M131" s="17">
        <v>13982.92</v>
      </c>
      <c r="N131" s="17"/>
      <c r="O131" s="17">
        <v>4319.88</v>
      </c>
      <c r="P131" s="19">
        <f>I131+K131-M131-O131</f>
        <v>0</v>
      </c>
    </row>
    <row r="132" ht="12" customHeight="1" spans="1:16">
      <c r="A132" s="14">
        <v>62</v>
      </c>
      <c r="B132" s="15" t="s">
        <v>77</v>
      </c>
      <c r="C132" s="18"/>
      <c r="D132" s="16">
        <v>508.26</v>
      </c>
      <c r="E132" s="17"/>
      <c r="F132" s="17">
        <v>171.98</v>
      </c>
      <c r="G132" s="17"/>
      <c r="H132" s="16">
        <v>508.26</v>
      </c>
      <c r="I132" s="17"/>
      <c r="J132" s="17">
        <v>171.98</v>
      </c>
      <c r="K132" s="17"/>
      <c r="L132" s="43">
        <v>508.26</v>
      </c>
      <c r="M132" s="17"/>
      <c r="N132" s="17">
        <v>171.98</v>
      </c>
      <c r="O132" s="17"/>
      <c r="P132" s="19"/>
    </row>
    <row r="133" ht="12" customHeight="1" spans="1:16">
      <c r="A133" s="14"/>
      <c r="B133" s="15"/>
      <c r="C133" s="18">
        <v>25</v>
      </c>
      <c r="D133" s="16"/>
      <c r="E133" s="17">
        <v>11852.43</v>
      </c>
      <c r="F133" s="17"/>
      <c r="G133" s="17">
        <v>4258.17</v>
      </c>
      <c r="H133" s="16"/>
      <c r="I133" s="17">
        <v>11852.43</v>
      </c>
      <c r="J133" s="17"/>
      <c r="K133" s="17">
        <v>4258.17</v>
      </c>
      <c r="L133" s="43"/>
      <c r="M133" s="17">
        <v>11852.43</v>
      </c>
      <c r="N133" s="17"/>
      <c r="O133" s="17">
        <v>4258.17</v>
      </c>
      <c r="P133" s="19">
        <f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439.94</v>
      </c>
      <c r="E134" s="17"/>
      <c r="F134" s="17">
        <v>168.67</v>
      </c>
      <c r="G134" s="17"/>
      <c r="H134" s="16">
        <v>439.94</v>
      </c>
      <c r="I134" s="17"/>
      <c r="J134" s="17">
        <v>168.67</v>
      </c>
      <c r="K134" s="17"/>
      <c r="L134" s="43">
        <v>439.94</v>
      </c>
      <c r="M134" s="17"/>
      <c r="N134" s="17">
        <v>168.67</v>
      </c>
      <c r="O134" s="17"/>
      <c r="P134" s="19"/>
    </row>
    <row r="135" ht="12" customHeight="1" spans="1:16">
      <c r="A135" s="14"/>
      <c r="B135" s="15"/>
      <c r="C135" s="18">
        <v>25</v>
      </c>
      <c r="D135" s="16"/>
      <c r="E135" s="17">
        <v>11500.45</v>
      </c>
      <c r="F135" s="17"/>
      <c r="G135" s="17">
        <v>4207.42</v>
      </c>
      <c r="H135" s="16"/>
      <c r="I135" s="17">
        <v>11500.45</v>
      </c>
      <c r="J135" s="17"/>
      <c r="K135" s="17">
        <v>4207.42</v>
      </c>
      <c r="L135" s="43"/>
      <c r="M135" s="17">
        <v>11500.45</v>
      </c>
      <c r="N135" s="17"/>
      <c r="O135" s="17">
        <v>4207.42</v>
      </c>
      <c r="P135" s="19">
        <f>I135+K135-M135-O135</f>
        <v>0</v>
      </c>
    </row>
    <row r="136" ht="12" customHeight="1" spans="1:16">
      <c r="A136" s="14">
        <v>64</v>
      </c>
      <c r="B136" s="15" t="s">
        <v>79</v>
      </c>
      <c r="C136" s="18"/>
      <c r="D136" s="16">
        <v>480.1</v>
      </c>
      <c r="E136" s="17"/>
      <c r="F136" s="17">
        <v>167.92</v>
      </c>
      <c r="G136" s="17"/>
      <c r="H136" s="16">
        <v>480.1</v>
      </c>
      <c r="I136" s="17"/>
      <c r="J136" s="17">
        <v>167.92</v>
      </c>
      <c r="K136" s="17"/>
      <c r="L136" s="43">
        <v>480.1</v>
      </c>
      <c r="M136" s="17"/>
      <c r="N136" s="17">
        <v>167.92</v>
      </c>
      <c r="O136" s="17"/>
      <c r="P136" s="19"/>
    </row>
    <row r="137" ht="12" customHeight="1" spans="1:16">
      <c r="A137" s="14"/>
      <c r="B137" s="15"/>
      <c r="C137" s="18">
        <v>25</v>
      </c>
      <c r="D137" s="16"/>
      <c r="E137" s="17">
        <v>12151.44</v>
      </c>
      <c r="F137" s="17"/>
      <c r="G137" s="17">
        <v>4198.99</v>
      </c>
      <c r="H137" s="16"/>
      <c r="I137" s="17">
        <v>12151.44</v>
      </c>
      <c r="J137" s="17"/>
      <c r="K137" s="17">
        <v>4198.99</v>
      </c>
      <c r="L137" s="43"/>
      <c r="M137" s="17">
        <v>12151.44</v>
      </c>
      <c r="N137" s="17"/>
      <c r="O137" s="17">
        <v>4198.99</v>
      </c>
      <c r="P137" s="19">
        <f>I137+K137-M137-O137</f>
        <v>0</v>
      </c>
    </row>
    <row r="138" ht="12" customHeight="1" spans="1:16">
      <c r="A138" s="14">
        <v>65</v>
      </c>
      <c r="B138" s="15" t="s">
        <v>80</v>
      </c>
      <c r="C138" s="18"/>
      <c r="D138" s="16">
        <v>492.01</v>
      </c>
      <c r="E138" s="17"/>
      <c r="F138" s="17">
        <v>168</v>
      </c>
      <c r="G138" s="17"/>
      <c r="H138" s="16">
        <v>492.01</v>
      </c>
      <c r="I138" s="17"/>
      <c r="J138" s="17">
        <v>168</v>
      </c>
      <c r="K138" s="17"/>
      <c r="L138" s="43">
        <v>492.01</v>
      </c>
      <c r="M138" s="17"/>
      <c r="N138" s="17">
        <v>168</v>
      </c>
      <c r="O138" s="17"/>
      <c r="P138" s="19"/>
    </row>
    <row r="139" ht="12" customHeight="1" spans="1:16">
      <c r="A139" s="14"/>
      <c r="B139" s="15"/>
      <c r="C139" s="18">
        <v>25</v>
      </c>
      <c r="D139" s="16"/>
      <c r="E139" s="17">
        <v>12175.43</v>
      </c>
      <c r="F139" s="17"/>
      <c r="G139" s="17">
        <v>4199.12</v>
      </c>
      <c r="H139" s="16"/>
      <c r="I139" s="17">
        <v>12175.43</v>
      </c>
      <c r="J139" s="17"/>
      <c r="K139" s="17">
        <v>4199.12</v>
      </c>
      <c r="L139" s="43"/>
      <c r="M139" s="17">
        <v>12175.43</v>
      </c>
      <c r="N139" s="17"/>
      <c r="O139" s="17">
        <v>4199.12</v>
      </c>
      <c r="P139" s="19">
        <f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482.02</v>
      </c>
      <c r="E140" s="17"/>
      <c r="F140" s="17">
        <v>167.93</v>
      </c>
      <c r="G140" s="17"/>
      <c r="H140" s="16">
        <v>482.02</v>
      </c>
      <c r="I140" s="17"/>
      <c r="J140" s="17">
        <v>167.93</v>
      </c>
      <c r="K140" s="17"/>
      <c r="L140" s="43">
        <v>482.02</v>
      </c>
      <c r="M140" s="17"/>
      <c r="N140" s="17">
        <v>167.93</v>
      </c>
      <c r="O140" s="17"/>
      <c r="P140" s="19"/>
    </row>
    <row r="141" ht="12" customHeight="1" spans="1:16">
      <c r="A141" s="14"/>
      <c r="B141" s="15"/>
      <c r="C141" s="18">
        <v>25</v>
      </c>
      <c r="D141" s="16"/>
      <c r="E141" s="17">
        <v>10588.84</v>
      </c>
      <c r="F141" s="17"/>
      <c r="G141" s="17">
        <v>4060.87</v>
      </c>
      <c r="H141" s="16"/>
      <c r="I141" s="17">
        <v>10588.84</v>
      </c>
      <c r="J141" s="17"/>
      <c r="K141" s="17">
        <v>4060.87</v>
      </c>
      <c r="L141" s="43"/>
      <c r="M141" s="17">
        <v>10588.84</v>
      </c>
      <c r="N141" s="17"/>
      <c r="O141" s="17">
        <v>4060.87</v>
      </c>
      <c r="P141" s="19">
        <f>I141+K141-M141-O141</f>
        <v>0</v>
      </c>
    </row>
    <row r="142" ht="12" customHeight="1" spans="1:16">
      <c r="A142" s="14">
        <v>67</v>
      </c>
      <c r="B142" s="15" t="s">
        <v>82</v>
      </c>
      <c r="C142" s="18"/>
      <c r="D142" s="16">
        <v>365.09</v>
      </c>
      <c r="E142" s="17"/>
      <c r="F142" s="17">
        <v>156.94</v>
      </c>
      <c r="G142" s="17"/>
      <c r="H142" s="16">
        <v>365.09</v>
      </c>
      <c r="I142" s="17"/>
      <c r="J142" s="17">
        <v>156.94</v>
      </c>
      <c r="K142" s="17"/>
      <c r="L142" s="43">
        <v>365.09</v>
      </c>
      <c r="M142" s="17"/>
      <c r="N142" s="17">
        <v>156.94</v>
      </c>
      <c r="O142" s="17"/>
      <c r="P142" s="19"/>
    </row>
    <row r="143" ht="12" customHeight="1" spans="1:16">
      <c r="A143" s="14"/>
      <c r="B143" s="15"/>
      <c r="C143" s="18">
        <v>25</v>
      </c>
      <c r="D143" s="16"/>
      <c r="E143" s="17">
        <v>8238.89</v>
      </c>
      <c r="F143" s="17"/>
      <c r="G143" s="17">
        <v>3167.08</v>
      </c>
      <c r="H143" s="16"/>
      <c r="I143" s="17">
        <v>8238.89</v>
      </c>
      <c r="J143" s="17"/>
      <c r="K143" s="17">
        <v>3167.08</v>
      </c>
      <c r="L143" s="43"/>
      <c r="M143" s="17">
        <v>8238.89</v>
      </c>
      <c r="N143" s="17"/>
      <c r="O143" s="17">
        <v>3167.08</v>
      </c>
      <c r="P143" s="19">
        <f>I143+K143-M143-O143</f>
        <v>0</v>
      </c>
    </row>
    <row r="144" ht="12" customHeight="1" spans="1:16">
      <c r="A144" s="14">
        <v>68</v>
      </c>
      <c r="B144" s="15" t="s">
        <v>83</v>
      </c>
      <c r="C144" s="18"/>
      <c r="D144" s="16">
        <v>294.02</v>
      </c>
      <c r="E144" s="17"/>
      <c r="F144" s="17">
        <v>96.43</v>
      </c>
      <c r="G144" s="17"/>
      <c r="H144" s="16">
        <v>294.02</v>
      </c>
      <c r="I144" s="17"/>
      <c r="J144" s="17">
        <v>96.43</v>
      </c>
      <c r="K144" s="17"/>
      <c r="L144" s="43">
        <v>294.02</v>
      </c>
      <c r="M144" s="17"/>
      <c r="N144" s="17">
        <v>96.43</v>
      </c>
      <c r="O144" s="17"/>
      <c r="P144" s="19"/>
    </row>
    <row r="145" ht="12" customHeight="1" spans="1:16">
      <c r="A145" s="14"/>
      <c r="B145" s="15"/>
      <c r="C145" s="18">
        <v>25</v>
      </c>
      <c r="D145" s="16"/>
      <c r="E145" s="17">
        <v>7514.47</v>
      </c>
      <c r="F145" s="17"/>
      <c r="G145" s="17">
        <v>2807.5</v>
      </c>
      <c r="H145" s="16"/>
      <c r="I145" s="17">
        <v>7514.47</v>
      </c>
      <c r="J145" s="17"/>
      <c r="K145" s="17">
        <v>2807.5</v>
      </c>
      <c r="L145" s="43"/>
      <c r="M145" s="17">
        <v>7514.47</v>
      </c>
      <c r="N145" s="17"/>
      <c r="O145" s="17">
        <v>2807.5</v>
      </c>
      <c r="P145" s="19">
        <f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307.13</v>
      </c>
      <c r="E146" s="17"/>
      <c r="F146" s="17">
        <v>128.17</v>
      </c>
      <c r="G146" s="17"/>
      <c r="H146" s="16">
        <v>307.13</v>
      </c>
      <c r="I146" s="17"/>
      <c r="J146" s="17">
        <v>128.17</v>
      </c>
      <c r="K146" s="17"/>
      <c r="L146" s="43">
        <v>307.13</v>
      </c>
      <c r="M146" s="17"/>
      <c r="N146" s="17">
        <v>128.17</v>
      </c>
      <c r="O146" s="17"/>
      <c r="P146" s="19"/>
    </row>
    <row r="147" ht="12" customHeight="1" spans="1:16">
      <c r="A147" s="14"/>
      <c r="B147" s="15"/>
      <c r="C147" s="18">
        <v>25</v>
      </c>
      <c r="D147" s="16"/>
      <c r="E147" s="17">
        <v>6008.57</v>
      </c>
      <c r="F147" s="17"/>
      <c r="G147" s="17">
        <v>2699.4</v>
      </c>
      <c r="H147" s="16"/>
      <c r="I147" s="17">
        <v>6008.57</v>
      </c>
      <c r="J147" s="17"/>
      <c r="K147" s="17">
        <v>2699.4</v>
      </c>
      <c r="L147" s="43"/>
      <c r="M147" s="17">
        <v>6008.57</v>
      </c>
      <c r="N147" s="17"/>
      <c r="O147" s="17">
        <v>2699.4</v>
      </c>
      <c r="P147" s="19">
        <f>I147+K147-M147-O147</f>
        <v>0</v>
      </c>
    </row>
    <row r="148" ht="12" customHeight="1" spans="1:16">
      <c r="A148" s="14">
        <v>70</v>
      </c>
      <c r="B148" s="15" t="s">
        <v>85</v>
      </c>
      <c r="C148" s="18"/>
      <c r="D148" s="16">
        <v>173.55</v>
      </c>
      <c r="E148" s="17"/>
      <c r="F148" s="17">
        <v>87.78</v>
      </c>
      <c r="G148" s="17"/>
      <c r="H148" s="16">
        <v>173.55</v>
      </c>
      <c r="I148" s="17"/>
      <c r="J148" s="17">
        <v>87.78</v>
      </c>
      <c r="K148" s="17"/>
      <c r="L148" s="43">
        <v>173.55</v>
      </c>
      <c r="M148" s="17"/>
      <c r="N148" s="17">
        <v>87.78</v>
      </c>
      <c r="O148" s="17"/>
      <c r="P148" s="19"/>
    </row>
    <row r="149" ht="12" customHeight="1" spans="1:16">
      <c r="A149" s="14"/>
      <c r="B149" s="15"/>
      <c r="C149" s="18">
        <v>25</v>
      </c>
      <c r="D149" s="16"/>
      <c r="E149" s="17">
        <v>4110.84</v>
      </c>
      <c r="F149" s="17"/>
      <c r="G149" s="17">
        <v>2201.41</v>
      </c>
      <c r="H149" s="16"/>
      <c r="I149" s="17">
        <v>4110.84</v>
      </c>
      <c r="J149" s="17"/>
      <c r="K149" s="17">
        <v>2201.41</v>
      </c>
      <c r="L149" s="43"/>
      <c r="M149" s="17">
        <v>4110.84</v>
      </c>
      <c r="N149" s="17"/>
      <c r="O149" s="17">
        <v>2201.41</v>
      </c>
      <c r="P149" s="19">
        <f>I149+K149-M149-O149</f>
        <v>0</v>
      </c>
    </row>
    <row r="150" ht="12" customHeight="1" spans="1:16">
      <c r="A150" s="14">
        <v>71</v>
      </c>
      <c r="B150" s="15" t="s">
        <v>86</v>
      </c>
      <c r="C150" s="18"/>
      <c r="D150" s="16">
        <v>155.31</v>
      </c>
      <c r="E150" s="17"/>
      <c r="F150" s="17">
        <v>88.33</v>
      </c>
      <c r="G150" s="17"/>
      <c r="H150" s="16">
        <v>155.31</v>
      </c>
      <c r="I150" s="17"/>
      <c r="J150" s="17">
        <v>88.33</v>
      </c>
      <c r="K150" s="17"/>
      <c r="L150" s="43">
        <v>155.31</v>
      </c>
      <c r="M150" s="17"/>
      <c r="N150" s="17">
        <v>88.33</v>
      </c>
      <c r="O150" s="17"/>
      <c r="P150" s="19"/>
    </row>
    <row r="151" ht="12" customHeight="1" spans="1:16">
      <c r="A151" s="14"/>
      <c r="B151" s="15"/>
      <c r="C151" s="18">
        <v>25</v>
      </c>
      <c r="D151" s="16"/>
      <c r="E151" s="17">
        <v>3511.89</v>
      </c>
      <c r="F151" s="17"/>
      <c r="G151" s="17">
        <v>2490.32</v>
      </c>
      <c r="H151" s="16"/>
      <c r="I151" s="17">
        <v>3511.89</v>
      </c>
      <c r="J151" s="17"/>
      <c r="K151" s="17">
        <v>2490.32</v>
      </c>
      <c r="L151" s="43"/>
      <c r="M151" s="17">
        <v>3511.89</v>
      </c>
      <c r="N151" s="17"/>
      <c r="O151" s="17">
        <v>2490.32</v>
      </c>
      <c r="P151" s="19">
        <f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125.64</v>
      </c>
      <c r="E152" s="17"/>
      <c r="F152" s="17">
        <v>110.89</v>
      </c>
      <c r="G152" s="17"/>
      <c r="H152" s="16">
        <v>125.64</v>
      </c>
      <c r="I152" s="17"/>
      <c r="J152" s="17">
        <v>110.89</v>
      </c>
      <c r="K152" s="17"/>
      <c r="L152" s="43">
        <v>125.64</v>
      </c>
      <c r="M152" s="17"/>
      <c r="N152" s="17">
        <v>110.89</v>
      </c>
      <c r="O152" s="17"/>
      <c r="P152" s="19"/>
    </row>
    <row r="153" ht="12" customHeight="1" spans="1:16">
      <c r="A153" s="14"/>
      <c r="B153" s="15"/>
      <c r="C153" s="18">
        <v>25</v>
      </c>
      <c r="D153" s="16"/>
      <c r="E153" s="17">
        <v>2707.73</v>
      </c>
      <c r="F153" s="17"/>
      <c r="G153" s="17">
        <v>2887.22</v>
      </c>
      <c r="H153" s="16"/>
      <c r="I153" s="17">
        <v>2707.73</v>
      </c>
      <c r="J153" s="17"/>
      <c r="K153" s="17">
        <v>2887.22</v>
      </c>
      <c r="L153" s="43"/>
      <c r="M153" s="17">
        <v>2707.73</v>
      </c>
      <c r="N153" s="17"/>
      <c r="O153" s="17">
        <v>2887.22</v>
      </c>
      <c r="P153" s="19">
        <f>I153+K153-M153-O153</f>
        <v>0</v>
      </c>
    </row>
    <row r="154" ht="12" customHeight="1" spans="1:16">
      <c r="A154" s="14">
        <v>73</v>
      </c>
      <c r="B154" s="15" t="s">
        <v>88</v>
      </c>
      <c r="C154" s="18"/>
      <c r="D154" s="16">
        <v>90.98</v>
      </c>
      <c r="E154" s="17"/>
      <c r="F154" s="17">
        <v>120.08</v>
      </c>
      <c r="G154" s="17"/>
      <c r="H154" s="16">
        <v>90.98</v>
      </c>
      <c r="I154" s="17"/>
      <c r="J154" s="17">
        <v>120.08</v>
      </c>
      <c r="K154" s="17"/>
      <c r="L154" s="43">
        <v>90.98</v>
      </c>
      <c r="M154" s="17"/>
      <c r="N154" s="17">
        <v>120.08</v>
      </c>
      <c r="O154" s="17"/>
      <c r="P154" s="19"/>
    </row>
    <row r="155" ht="12" customHeight="1" spans="1:16">
      <c r="A155" s="14"/>
      <c r="B155" s="15"/>
      <c r="C155" s="18">
        <v>25</v>
      </c>
      <c r="D155" s="16"/>
      <c r="E155" s="17">
        <v>3128.22</v>
      </c>
      <c r="F155" s="17"/>
      <c r="G155" s="17">
        <v>3293.12</v>
      </c>
      <c r="H155" s="16"/>
      <c r="I155" s="17">
        <v>3128.22</v>
      </c>
      <c r="J155" s="17"/>
      <c r="K155" s="17">
        <v>3293.12</v>
      </c>
      <c r="L155" s="43"/>
      <c r="M155" s="17">
        <v>3128.22</v>
      </c>
      <c r="N155" s="17"/>
      <c r="O155" s="17">
        <v>3293.12</v>
      </c>
      <c r="P155" s="19">
        <f>I155+K155-M155-O155</f>
        <v>0</v>
      </c>
    </row>
    <row r="156" ht="12" customHeight="1" spans="1:16">
      <c r="A156" s="14">
        <v>74</v>
      </c>
      <c r="B156" s="15" t="s">
        <v>89</v>
      </c>
      <c r="C156" s="18"/>
      <c r="D156" s="16">
        <v>159.28</v>
      </c>
      <c r="E156" s="17"/>
      <c r="F156" s="17">
        <v>143.37</v>
      </c>
      <c r="G156" s="17"/>
      <c r="H156" s="16">
        <v>159.28</v>
      </c>
      <c r="I156" s="17"/>
      <c r="J156" s="17">
        <v>143.37</v>
      </c>
      <c r="K156" s="17"/>
      <c r="L156" s="43">
        <v>159.28</v>
      </c>
      <c r="M156" s="17"/>
      <c r="N156" s="17">
        <v>143.37</v>
      </c>
      <c r="O156" s="17"/>
      <c r="P156" s="19"/>
    </row>
    <row r="157" ht="12" customHeight="1" spans="1:16">
      <c r="A157" s="14"/>
      <c r="B157" s="15"/>
      <c r="C157" s="18">
        <v>25</v>
      </c>
      <c r="D157" s="16"/>
      <c r="E157" s="17">
        <v>4558.65</v>
      </c>
      <c r="F157" s="17"/>
      <c r="G157" s="17">
        <v>3487.79</v>
      </c>
      <c r="H157" s="16"/>
      <c r="I157" s="17">
        <v>4558.65</v>
      </c>
      <c r="J157" s="17"/>
      <c r="K157" s="17">
        <v>3487.79</v>
      </c>
      <c r="L157" s="43"/>
      <c r="M157" s="17">
        <v>4558.65</v>
      </c>
      <c r="N157" s="17"/>
      <c r="O157" s="17">
        <v>3487.79</v>
      </c>
      <c r="P157" s="19">
        <f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205.42</v>
      </c>
      <c r="E158" s="17"/>
      <c r="F158" s="17">
        <v>135.66</v>
      </c>
      <c r="G158" s="17"/>
      <c r="H158" s="16">
        <v>205.42</v>
      </c>
      <c r="I158" s="17"/>
      <c r="J158" s="17">
        <v>135.66</v>
      </c>
      <c r="K158" s="17"/>
      <c r="L158" s="43">
        <v>205.42</v>
      </c>
      <c r="M158" s="17"/>
      <c r="N158" s="17">
        <v>135.66</v>
      </c>
      <c r="O158" s="17"/>
      <c r="P158" s="19"/>
    </row>
    <row r="159" ht="12" customHeight="1" spans="1:16">
      <c r="A159" s="14"/>
      <c r="B159" s="15"/>
      <c r="C159" s="18">
        <v>25</v>
      </c>
      <c r="D159" s="16"/>
      <c r="E159" s="17">
        <v>6443.55</v>
      </c>
      <c r="F159" s="17"/>
      <c r="G159" s="17">
        <v>3321.63</v>
      </c>
      <c r="H159" s="16"/>
      <c r="I159" s="17">
        <v>6443.55</v>
      </c>
      <c r="J159" s="17"/>
      <c r="K159" s="17">
        <v>3321.63</v>
      </c>
      <c r="L159" s="43"/>
      <c r="M159" s="17">
        <v>6443.55</v>
      </c>
      <c r="N159" s="17"/>
      <c r="O159" s="17">
        <v>3321.63</v>
      </c>
      <c r="P159" s="19">
        <f>I159+K159-M159-O159</f>
        <v>0</v>
      </c>
    </row>
    <row r="160" ht="12" customHeight="1" spans="1:16">
      <c r="A160" s="14">
        <v>76</v>
      </c>
      <c r="B160" s="15" t="s">
        <v>91</v>
      </c>
      <c r="C160" s="18"/>
      <c r="D160" s="16">
        <v>310.07</v>
      </c>
      <c r="E160" s="17"/>
      <c r="F160" s="17">
        <v>130.07</v>
      </c>
      <c r="G160" s="17"/>
      <c r="H160" s="16">
        <v>310.07</v>
      </c>
      <c r="I160" s="17"/>
      <c r="J160" s="17">
        <v>130.07</v>
      </c>
      <c r="K160" s="17"/>
      <c r="L160" s="43">
        <v>310.07</v>
      </c>
      <c r="M160" s="17"/>
      <c r="N160" s="17">
        <v>130.07</v>
      </c>
      <c r="O160" s="17"/>
      <c r="P160" s="19"/>
    </row>
    <row r="161" ht="12" customHeight="1" spans="1:16">
      <c r="A161" s="14"/>
      <c r="B161" s="15"/>
      <c r="C161" s="18">
        <v>25</v>
      </c>
      <c r="D161" s="16"/>
      <c r="E161" s="17">
        <v>8878.89</v>
      </c>
      <c r="F161" s="17"/>
      <c r="G161" s="17">
        <v>3068.98</v>
      </c>
      <c r="H161" s="16"/>
      <c r="I161" s="17">
        <v>8878.89</v>
      </c>
      <c r="J161" s="17"/>
      <c r="K161" s="17">
        <v>3068.98</v>
      </c>
      <c r="L161" s="43"/>
      <c r="M161" s="17">
        <f>(L160+L162)/2*25</f>
        <v>8547.375</v>
      </c>
      <c r="N161" s="17"/>
      <c r="O161" s="17">
        <v>3068.98</v>
      </c>
      <c r="P161" s="19">
        <f>I161+K161-M161-O161</f>
        <v>331.514999999999</v>
      </c>
    </row>
    <row r="162" ht="12" customHeight="1" spans="1:16">
      <c r="A162" s="14">
        <v>77</v>
      </c>
      <c r="B162" s="15" t="s">
        <v>92</v>
      </c>
      <c r="C162" s="18"/>
      <c r="D162" s="16">
        <v>400.24</v>
      </c>
      <c r="E162" s="17"/>
      <c r="F162" s="17">
        <v>115.45</v>
      </c>
      <c r="G162" s="17"/>
      <c r="H162" s="16">
        <v>400.24</v>
      </c>
      <c r="I162" s="17"/>
      <c r="J162" s="17">
        <v>115.45</v>
      </c>
      <c r="K162" s="17"/>
      <c r="L162" s="43">
        <v>373.72</v>
      </c>
      <c r="M162" s="17"/>
      <c r="N162" s="17">
        <v>115.45</v>
      </c>
      <c r="O162" s="17"/>
      <c r="P162" s="19"/>
    </row>
    <row r="163" ht="12" customHeight="1" spans="1:16">
      <c r="A163" s="14"/>
      <c r="B163" s="15"/>
      <c r="C163" s="18">
        <v>25</v>
      </c>
      <c r="D163" s="16"/>
      <c r="E163" s="17">
        <v>11231.62</v>
      </c>
      <c r="F163" s="17"/>
      <c r="G163" s="17">
        <v>2430.77</v>
      </c>
      <c r="H163" s="16"/>
      <c r="I163" s="17">
        <v>11231.62</v>
      </c>
      <c r="J163" s="17"/>
      <c r="K163" s="17">
        <v>2430.77</v>
      </c>
      <c r="L163" s="43"/>
      <c r="M163" s="17">
        <f>(L162+L164)/2*25</f>
        <v>10450.25</v>
      </c>
      <c r="N163" s="17"/>
      <c r="O163" s="17">
        <v>2430.77</v>
      </c>
      <c r="P163" s="19">
        <f>I163+K163-M163-O163</f>
        <v>781.370000000001</v>
      </c>
    </row>
    <row r="164" ht="12" customHeight="1" spans="1:16">
      <c r="A164" s="14">
        <v>78</v>
      </c>
      <c r="B164" s="15" t="s">
        <v>93</v>
      </c>
      <c r="C164" s="18"/>
      <c r="D164" s="16">
        <v>498.29</v>
      </c>
      <c r="E164" s="17"/>
      <c r="F164" s="17">
        <v>79.02</v>
      </c>
      <c r="G164" s="17"/>
      <c r="H164" s="16">
        <v>498.29</v>
      </c>
      <c r="I164" s="17"/>
      <c r="J164" s="17">
        <v>79.02</v>
      </c>
      <c r="K164" s="17"/>
      <c r="L164" s="43">
        <v>462.3</v>
      </c>
      <c r="M164" s="17"/>
      <c r="N164" s="17">
        <v>79.02</v>
      </c>
      <c r="O164" s="17"/>
      <c r="P164" s="19"/>
    </row>
    <row r="165" ht="12" customHeight="1" spans="1:16">
      <c r="A165" s="14"/>
      <c r="B165" s="15"/>
      <c r="C165" s="18">
        <v>25</v>
      </c>
      <c r="D165" s="16"/>
      <c r="E165" s="17">
        <v>12864.69</v>
      </c>
      <c r="F165" s="17"/>
      <c r="G165" s="17">
        <v>1742.89</v>
      </c>
      <c r="H165" s="16"/>
      <c r="I165" s="17">
        <v>12864.69</v>
      </c>
      <c r="J165" s="17"/>
      <c r="K165" s="17">
        <v>1742.89</v>
      </c>
      <c r="L165" s="43"/>
      <c r="M165" s="17">
        <f>(L164+L166)/2*25</f>
        <v>11960.5</v>
      </c>
      <c r="N165" s="17"/>
      <c r="O165" s="17">
        <v>1742.89</v>
      </c>
      <c r="P165" s="19">
        <f>I165+K165-M165-O165</f>
        <v>904.19</v>
      </c>
    </row>
    <row r="166" ht="12" customHeight="1" spans="1:16">
      <c r="A166" s="14">
        <v>79</v>
      </c>
      <c r="B166" s="15" t="s">
        <v>94</v>
      </c>
      <c r="C166" s="18"/>
      <c r="D166" s="16">
        <v>530.89</v>
      </c>
      <c r="E166" s="17"/>
      <c r="F166" s="17">
        <v>60.42</v>
      </c>
      <c r="G166" s="17"/>
      <c r="H166" s="16">
        <v>530.89</v>
      </c>
      <c r="I166" s="17"/>
      <c r="J166" s="17">
        <v>60.42</v>
      </c>
      <c r="K166" s="17"/>
      <c r="L166" s="43">
        <v>494.54</v>
      </c>
      <c r="M166" s="17"/>
      <c r="N166" s="17">
        <v>60.42</v>
      </c>
      <c r="O166" s="17"/>
      <c r="P166" s="19"/>
    </row>
    <row r="167" ht="12" customHeight="1" spans="1:16">
      <c r="A167" s="14"/>
      <c r="B167" s="15"/>
      <c r="C167" s="18">
        <v>25</v>
      </c>
      <c r="D167" s="16"/>
      <c r="E167" s="17">
        <v>12537.91</v>
      </c>
      <c r="F167" s="17"/>
      <c r="G167" s="17">
        <v>1007.57</v>
      </c>
      <c r="H167" s="16"/>
      <c r="I167" s="17">
        <v>12537.91</v>
      </c>
      <c r="J167" s="17"/>
      <c r="K167" s="17">
        <v>1007.57</v>
      </c>
      <c r="L167" s="43"/>
      <c r="M167" s="17">
        <f>(L166+L168)/2*25</f>
        <v>11601</v>
      </c>
      <c r="N167" s="17"/>
      <c r="O167" s="17">
        <v>1007.57</v>
      </c>
      <c r="P167" s="19">
        <f>I167+K167-M167-O167</f>
        <v>936.91</v>
      </c>
    </row>
    <row r="168" ht="12" customHeight="1" spans="1:16">
      <c r="A168" s="14">
        <v>80</v>
      </c>
      <c r="B168" s="15" t="s">
        <v>95</v>
      </c>
      <c r="C168" s="18"/>
      <c r="D168" s="16">
        <v>472.14</v>
      </c>
      <c r="E168" s="17"/>
      <c r="F168" s="17">
        <v>20.19</v>
      </c>
      <c r="G168" s="17"/>
      <c r="H168" s="16">
        <v>472.14</v>
      </c>
      <c r="I168" s="17"/>
      <c r="J168" s="17">
        <v>20.19</v>
      </c>
      <c r="K168" s="17"/>
      <c r="L168" s="43">
        <v>433.54</v>
      </c>
      <c r="M168" s="17"/>
      <c r="N168" s="17">
        <v>20.19</v>
      </c>
      <c r="O168" s="17"/>
      <c r="P168" s="19"/>
    </row>
    <row r="169" ht="12" customHeight="1" spans="1:16">
      <c r="A169" s="14"/>
      <c r="B169" s="15"/>
      <c r="C169" s="18">
        <v>25</v>
      </c>
      <c r="D169" s="16"/>
      <c r="E169" s="17">
        <v>10411.93</v>
      </c>
      <c r="F169" s="17"/>
      <c r="G169" s="17">
        <v>335.67</v>
      </c>
      <c r="H169" s="16"/>
      <c r="I169" s="17">
        <v>10411.93</v>
      </c>
      <c r="J169" s="17"/>
      <c r="K169" s="17">
        <v>335.67</v>
      </c>
      <c r="L169" s="43"/>
      <c r="M169" s="17">
        <f>(L168+L170)/2*25</f>
        <v>9465.375</v>
      </c>
      <c r="N169" s="17"/>
      <c r="O169" s="17">
        <v>335.67</v>
      </c>
      <c r="P169" s="19">
        <f>I169+K169-M169-O169</f>
        <v>946.555</v>
      </c>
    </row>
    <row r="170" ht="12" customHeight="1" spans="1:16">
      <c r="A170" s="14">
        <v>81</v>
      </c>
      <c r="B170" s="15" t="s">
        <v>96</v>
      </c>
      <c r="C170" s="18"/>
      <c r="D170" s="16">
        <v>360.81</v>
      </c>
      <c r="E170" s="17"/>
      <c r="F170" s="17">
        <v>6.66</v>
      </c>
      <c r="G170" s="17"/>
      <c r="H170" s="16">
        <v>360.81</v>
      </c>
      <c r="I170" s="17"/>
      <c r="J170" s="17">
        <v>6.66</v>
      </c>
      <c r="K170" s="17"/>
      <c r="L170" s="43">
        <v>323.69</v>
      </c>
      <c r="M170" s="17"/>
      <c r="N170" s="17">
        <v>6.66</v>
      </c>
      <c r="O170" s="17"/>
      <c r="P170" s="19"/>
    </row>
    <row r="171" ht="12" customHeight="1" spans="1:16">
      <c r="A171" s="14"/>
      <c r="B171" s="15"/>
      <c r="C171" s="18">
        <v>25</v>
      </c>
      <c r="D171" s="16"/>
      <c r="E171" s="17">
        <v>7629.67</v>
      </c>
      <c r="F171" s="17"/>
      <c r="G171" s="17">
        <v>146.86</v>
      </c>
      <c r="H171" s="16"/>
      <c r="I171" s="17">
        <v>7629.67</v>
      </c>
      <c r="J171" s="17"/>
      <c r="K171" s="17">
        <v>146.86</v>
      </c>
      <c r="L171" s="43"/>
      <c r="M171" s="17">
        <f>(L170+L172)/2*25</f>
        <v>6792.625</v>
      </c>
      <c r="N171" s="17"/>
      <c r="O171" s="17">
        <v>146.86</v>
      </c>
      <c r="P171" s="19">
        <f>I171+K171-M171-O171</f>
        <v>837.045</v>
      </c>
    </row>
    <row r="172" ht="12" customHeight="1" spans="1:16">
      <c r="A172" s="14">
        <v>82</v>
      </c>
      <c r="B172" s="15" t="s">
        <v>97</v>
      </c>
      <c r="C172" s="18"/>
      <c r="D172" s="16">
        <v>249.56</v>
      </c>
      <c r="E172" s="17"/>
      <c r="F172" s="17">
        <v>5.09</v>
      </c>
      <c r="G172" s="17"/>
      <c r="H172" s="16">
        <v>249.56</v>
      </c>
      <c r="I172" s="17"/>
      <c r="J172" s="17">
        <v>5.09</v>
      </c>
      <c r="K172" s="17"/>
      <c r="L172" s="43">
        <v>219.72</v>
      </c>
      <c r="M172" s="17"/>
      <c r="N172" s="17">
        <v>5.09</v>
      </c>
      <c r="O172" s="17"/>
      <c r="P172" s="19"/>
    </row>
    <row r="173" ht="12" customHeight="1" spans="1:16">
      <c r="A173" s="14"/>
      <c r="B173" s="15"/>
      <c r="C173" s="18">
        <v>25</v>
      </c>
      <c r="D173" s="16"/>
      <c r="E173" s="17">
        <v>6622.27</v>
      </c>
      <c r="F173" s="17"/>
      <c r="G173" s="17">
        <v>120.85</v>
      </c>
      <c r="H173" s="16"/>
      <c r="I173" s="17">
        <v>6622.27</v>
      </c>
      <c r="J173" s="17"/>
      <c r="K173" s="17">
        <v>120.85</v>
      </c>
      <c r="L173" s="43"/>
      <c r="M173" s="17">
        <f>(L172+L174)/2*25</f>
        <v>5987.75</v>
      </c>
      <c r="N173" s="17"/>
      <c r="O173" s="17">
        <v>120.85</v>
      </c>
      <c r="P173" s="19">
        <f>I173+K173-M173-O173</f>
        <v>634.520000000001</v>
      </c>
    </row>
    <row r="174" ht="12" customHeight="1" spans="1:16">
      <c r="A174" s="14">
        <v>83</v>
      </c>
      <c r="B174" s="15" t="s">
        <v>98</v>
      </c>
      <c r="C174" s="18"/>
      <c r="D174" s="16">
        <v>280.22</v>
      </c>
      <c r="E174" s="17"/>
      <c r="F174" s="17">
        <v>4.58</v>
      </c>
      <c r="G174" s="17"/>
      <c r="H174" s="16">
        <v>280.22</v>
      </c>
      <c r="I174" s="17"/>
      <c r="J174" s="17">
        <v>4.58</v>
      </c>
      <c r="K174" s="17"/>
      <c r="L174" s="43">
        <v>259.3</v>
      </c>
      <c r="M174" s="17"/>
      <c r="N174" s="17">
        <v>4.58</v>
      </c>
      <c r="O174" s="17"/>
      <c r="P174" s="19"/>
    </row>
    <row r="175" ht="12" customHeight="1" spans="1:16">
      <c r="A175" s="14"/>
      <c r="B175" s="15"/>
      <c r="C175" s="18">
        <v>25</v>
      </c>
      <c r="D175" s="16"/>
      <c r="E175" s="17">
        <v>6941.32</v>
      </c>
      <c r="F175" s="17"/>
      <c r="G175" s="17">
        <v>98.14</v>
      </c>
      <c r="H175" s="16"/>
      <c r="I175" s="17">
        <v>6941.32</v>
      </c>
      <c r="J175" s="17"/>
      <c r="K175" s="17">
        <v>98.14</v>
      </c>
      <c r="L175" s="43"/>
      <c r="M175" s="17">
        <f>(L174+L176)/2*25</f>
        <v>6321.75</v>
      </c>
      <c r="N175" s="17"/>
      <c r="O175" s="17">
        <v>98.14</v>
      </c>
      <c r="P175" s="19">
        <f>I175+K175-M175-O175</f>
        <v>619.57</v>
      </c>
    </row>
    <row r="176" ht="12" customHeight="1" spans="1:16">
      <c r="A176" s="14">
        <v>84</v>
      </c>
      <c r="B176" s="15" t="s">
        <v>99</v>
      </c>
      <c r="C176" s="18"/>
      <c r="D176" s="16">
        <v>275.09</v>
      </c>
      <c r="E176" s="17"/>
      <c r="F176" s="17">
        <v>3.27</v>
      </c>
      <c r="G176" s="17"/>
      <c r="H176" s="16">
        <v>275.09</v>
      </c>
      <c r="I176" s="17"/>
      <c r="J176" s="17">
        <v>3.27</v>
      </c>
      <c r="K176" s="17"/>
      <c r="L176" s="43">
        <v>246.44</v>
      </c>
      <c r="M176" s="17"/>
      <c r="N176" s="17">
        <v>3.27</v>
      </c>
      <c r="O176" s="17"/>
      <c r="P176" s="19"/>
    </row>
    <row r="177" ht="12" customHeight="1" spans="1:16">
      <c r="A177" s="14"/>
      <c r="B177" s="15"/>
      <c r="C177" s="18">
        <v>25</v>
      </c>
      <c r="D177" s="16"/>
      <c r="E177" s="17">
        <v>7055.64</v>
      </c>
      <c r="F177" s="17"/>
      <c r="G177" s="17">
        <v>197.11</v>
      </c>
      <c r="H177" s="16"/>
      <c r="I177" s="17">
        <v>7055.64</v>
      </c>
      <c r="J177" s="17"/>
      <c r="K177" s="17">
        <v>197.11</v>
      </c>
      <c r="L177" s="43"/>
      <c r="M177" s="17">
        <f>(L176+L178)/2*25</f>
        <v>6329</v>
      </c>
      <c r="N177" s="17"/>
      <c r="O177" s="17">
        <v>197.11</v>
      </c>
      <c r="P177" s="19">
        <f>I177+K177-M177-O177</f>
        <v>726.64</v>
      </c>
    </row>
    <row r="178" ht="12" customHeight="1" spans="1:16">
      <c r="A178" s="14">
        <v>85</v>
      </c>
      <c r="B178" s="15" t="s">
        <v>100</v>
      </c>
      <c r="C178" s="18"/>
      <c r="D178" s="16">
        <v>289.36</v>
      </c>
      <c r="E178" s="17"/>
      <c r="F178" s="17">
        <v>12.5</v>
      </c>
      <c r="G178" s="17"/>
      <c r="H178" s="16">
        <v>289.36</v>
      </c>
      <c r="I178" s="17"/>
      <c r="J178" s="17">
        <v>12.5</v>
      </c>
      <c r="K178" s="17"/>
      <c r="L178" s="43">
        <v>259.88</v>
      </c>
      <c r="M178" s="17"/>
      <c r="N178" s="17">
        <v>12.5</v>
      </c>
      <c r="O178" s="17"/>
      <c r="P178" s="19"/>
    </row>
    <row r="179" ht="12" customHeight="1" spans="1:16">
      <c r="A179" s="14"/>
      <c r="B179" s="15"/>
      <c r="C179" s="18">
        <v>25</v>
      </c>
      <c r="D179" s="16"/>
      <c r="E179" s="17">
        <v>6577.37</v>
      </c>
      <c r="F179" s="17"/>
      <c r="G179" s="17">
        <v>376.99</v>
      </c>
      <c r="H179" s="16"/>
      <c r="I179" s="17">
        <v>6577.37</v>
      </c>
      <c r="J179" s="17"/>
      <c r="K179" s="17">
        <v>376.99</v>
      </c>
      <c r="L179" s="43"/>
      <c r="M179" s="17">
        <f>(L178+L180)/2*25</f>
        <v>5704.375</v>
      </c>
      <c r="N179" s="17"/>
      <c r="O179" s="17">
        <v>376.99</v>
      </c>
      <c r="P179" s="19">
        <f>I179+K179-M179-O179</f>
        <v>872.995</v>
      </c>
    </row>
    <row r="180" ht="12" customHeight="1" spans="1:16">
      <c r="A180" s="14">
        <v>86</v>
      </c>
      <c r="B180" s="15" t="s">
        <v>101</v>
      </c>
      <c r="C180" s="18"/>
      <c r="D180" s="16">
        <v>236.83</v>
      </c>
      <c r="E180" s="17"/>
      <c r="F180" s="17">
        <v>17.66</v>
      </c>
      <c r="G180" s="17"/>
      <c r="H180" s="16">
        <v>236.83</v>
      </c>
      <c r="I180" s="17"/>
      <c r="J180" s="17">
        <v>17.66</v>
      </c>
      <c r="K180" s="17"/>
      <c r="L180" s="43">
        <v>196.47</v>
      </c>
      <c r="M180" s="17"/>
      <c r="N180" s="17">
        <v>17.66</v>
      </c>
      <c r="O180" s="17"/>
      <c r="P180" s="19"/>
    </row>
    <row r="181" ht="12" customHeight="1" spans="1:16">
      <c r="A181" s="14"/>
      <c r="B181" s="15"/>
      <c r="C181" s="18">
        <v>25</v>
      </c>
      <c r="D181" s="16"/>
      <c r="E181" s="17">
        <v>4660.22</v>
      </c>
      <c r="F181" s="17"/>
      <c r="G181" s="17">
        <v>407.55</v>
      </c>
      <c r="H181" s="16"/>
      <c r="I181" s="17">
        <v>4660.22</v>
      </c>
      <c r="J181" s="17"/>
      <c r="K181" s="17">
        <v>407.55</v>
      </c>
      <c r="L181" s="43"/>
      <c r="M181" s="17">
        <f>(L180+L182)/2*25</f>
        <v>4155.75</v>
      </c>
      <c r="N181" s="17"/>
      <c r="O181" s="17">
        <v>407.55</v>
      </c>
      <c r="P181" s="19">
        <f>I181+K181-M181-O181</f>
        <v>504.47</v>
      </c>
    </row>
    <row r="182" ht="12" customHeight="1" spans="1:16">
      <c r="A182" s="14">
        <v>87</v>
      </c>
      <c r="B182" s="15" t="s">
        <v>102</v>
      </c>
      <c r="C182" s="18"/>
      <c r="D182" s="16">
        <v>135.99</v>
      </c>
      <c r="E182" s="17"/>
      <c r="F182" s="17">
        <v>14.95</v>
      </c>
      <c r="G182" s="17"/>
      <c r="H182" s="16">
        <v>135.99</v>
      </c>
      <c r="I182" s="17"/>
      <c r="J182" s="17">
        <v>14.95</v>
      </c>
      <c r="K182" s="17"/>
      <c r="L182" s="43">
        <v>135.99</v>
      </c>
      <c r="M182" s="17"/>
      <c r="N182" s="17">
        <v>14.95</v>
      </c>
      <c r="O182" s="17"/>
      <c r="P182" s="19"/>
    </row>
    <row r="183" ht="12" customHeight="1" spans="1:16">
      <c r="A183" s="14"/>
      <c r="B183" s="15"/>
      <c r="C183" s="18">
        <v>25</v>
      </c>
      <c r="D183" s="16"/>
      <c r="E183" s="17">
        <v>2105.71</v>
      </c>
      <c r="F183" s="17"/>
      <c r="G183" s="17">
        <v>278.7</v>
      </c>
      <c r="H183" s="16"/>
      <c r="I183" s="17">
        <v>2105.71</v>
      </c>
      <c r="J183" s="17"/>
      <c r="K183" s="17">
        <v>278.7</v>
      </c>
      <c r="L183" s="43"/>
      <c r="M183" s="17">
        <v>2105.71</v>
      </c>
      <c r="N183" s="17"/>
      <c r="O183" s="17">
        <v>278.7</v>
      </c>
      <c r="P183" s="19">
        <f>I183+K183-M183-O183</f>
        <v>0</v>
      </c>
    </row>
    <row r="184" ht="12" customHeight="1" spans="1:16">
      <c r="A184" s="14">
        <v>88</v>
      </c>
      <c r="B184" s="15" t="s">
        <v>103</v>
      </c>
      <c r="C184" s="18"/>
      <c r="D184" s="16">
        <v>32.47</v>
      </c>
      <c r="E184" s="17"/>
      <c r="F184" s="17">
        <v>7.35</v>
      </c>
      <c r="G184" s="17"/>
      <c r="H184" s="16">
        <v>32.47</v>
      </c>
      <c r="I184" s="17"/>
      <c r="J184" s="17">
        <v>7.35</v>
      </c>
      <c r="K184" s="17"/>
      <c r="L184" s="43">
        <v>32.47</v>
      </c>
      <c r="M184" s="17"/>
      <c r="N184" s="17">
        <v>7.35</v>
      </c>
      <c r="O184" s="17"/>
      <c r="P184" s="19"/>
    </row>
    <row r="185" ht="12" customHeight="1" spans="1:16">
      <c r="A185" s="14"/>
      <c r="B185" s="15"/>
      <c r="C185" s="18">
        <v>25</v>
      </c>
      <c r="D185" s="16"/>
      <c r="E185" s="17">
        <v>1160.51</v>
      </c>
      <c r="F185" s="17"/>
      <c r="G185" s="17">
        <v>217.51</v>
      </c>
      <c r="H185" s="16"/>
      <c r="I185" s="17">
        <v>1160.51</v>
      </c>
      <c r="J185" s="17"/>
      <c r="K185" s="17">
        <v>217.51</v>
      </c>
      <c r="L185" s="43"/>
      <c r="M185" s="17">
        <v>1160.51</v>
      </c>
      <c r="N185" s="17"/>
      <c r="O185" s="17">
        <v>217.51</v>
      </c>
      <c r="P185" s="19">
        <f>I185+K185-M185-O185</f>
        <v>0</v>
      </c>
    </row>
    <row r="186" ht="12" customHeight="1" spans="1:16">
      <c r="A186" s="14">
        <v>89</v>
      </c>
      <c r="B186" s="15" t="s">
        <v>104</v>
      </c>
      <c r="C186" s="18"/>
      <c r="D186" s="16">
        <v>60.38</v>
      </c>
      <c r="E186" s="17"/>
      <c r="F186" s="17">
        <v>10.05</v>
      </c>
      <c r="G186" s="17"/>
      <c r="H186" s="16">
        <v>60.38</v>
      </c>
      <c r="I186" s="17"/>
      <c r="J186" s="17">
        <v>10.05</v>
      </c>
      <c r="K186" s="17"/>
      <c r="L186" s="43">
        <v>60.38</v>
      </c>
      <c r="M186" s="17"/>
      <c r="N186" s="17">
        <v>10.05</v>
      </c>
      <c r="O186" s="17"/>
      <c r="P186" s="19"/>
    </row>
    <row r="187" ht="12" customHeight="1" spans="1:16">
      <c r="A187" s="14"/>
      <c r="B187" s="15"/>
      <c r="C187" s="18">
        <v>25</v>
      </c>
      <c r="D187" s="16"/>
      <c r="E187" s="17">
        <v>1455.58</v>
      </c>
      <c r="F187" s="17"/>
      <c r="G187" s="17">
        <v>246.28</v>
      </c>
      <c r="H187" s="16"/>
      <c r="I187" s="17">
        <v>1455.58</v>
      </c>
      <c r="J187" s="17"/>
      <c r="K187" s="17">
        <v>246.28</v>
      </c>
      <c r="L187" s="43"/>
      <c r="M187" s="17">
        <v>1455.58</v>
      </c>
      <c r="N187" s="17"/>
      <c r="O187" s="17">
        <v>246.28</v>
      </c>
      <c r="P187" s="19">
        <f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56.07</v>
      </c>
      <c r="E188" s="17"/>
      <c r="F188" s="17">
        <v>9.65</v>
      </c>
      <c r="G188" s="17"/>
      <c r="H188" s="16">
        <v>56.07</v>
      </c>
      <c r="I188" s="17"/>
      <c r="J188" s="17">
        <v>9.65</v>
      </c>
      <c r="K188" s="17"/>
      <c r="L188" s="43">
        <v>56.07</v>
      </c>
      <c r="M188" s="17"/>
      <c r="N188" s="17">
        <v>9.65</v>
      </c>
      <c r="O188" s="17"/>
      <c r="P188" s="19"/>
    </row>
    <row r="189" ht="12" customHeight="1" spans="1:16">
      <c r="A189" s="14"/>
      <c r="B189" s="15"/>
      <c r="C189" s="18">
        <v>25</v>
      </c>
      <c r="D189" s="16"/>
      <c r="E189" s="17">
        <v>1358.16</v>
      </c>
      <c r="F189" s="17"/>
      <c r="G189" s="17">
        <v>246.04</v>
      </c>
      <c r="H189" s="16"/>
      <c r="I189" s="17">
        <v>1358.16</v>
      </c>
      <c r="J189" s="17"/>
      <c r="K189" s="17">
        <v>246.04</v>
      </c>
      <c r="L189" s="43"/>
      <c r="M189" s="17">
        <v>1358.16</v>
      </c>
      <c r="N189" s="17"/>
      <c r="O189" s="17">
        <v>246.04</v>
      </c>
      <c r="P189" s="19">
        <f>I189+K189-M189-O189</f>
        <v>0</v>
      </c>
    </row>
    <row r="190" ht="12" customHeight="1" spans="1:16">
      <c r="A190" s="14">
        <v>91</v>
      </c>
      <c r="B190" s="15" t="s">
        <v>106</v>
      </c>
      <c r="C190" s="18"/>
      <c r="D190" s="16">
        <v>52.58</v>
      </c>
      <c r="E190" s="17"/>
      <c r="F190" s="17">
        <v>10.03</v>
      </c>
      <c r="G190" s="17"/>
      <c r="H190" s="16">
        <v>52.58</v>
      </c>
      <c r="I190" s="17"/>
      <c r="J190" s="17">
        <v>10.03</v>
      </c>
      <c r="K190" s="17"/>
      <c r="L190" s="43">
        <v>52.58</v>
      </c>
      <c r="M190" s="17"/>
      <c r="N190" s="17">
        <v>10.03</v>
      </c>
      <c r="O190" s="17"/>
      <c r="P190" s="19"/>
    </row>
    <row r="191" ht="12" customHeight="1" spans="1:16">
      <c r="A191" s="14"/>
      <c r="B191" s="15"/>
      <c r="C191" s="18">
        <v>25</v>
      </c>
      <c r="D191" s="16"/>
      <c r="E191" s="17">
        <v>1389.78</v>
      </c>
      <c r="F191" s="17"/>
      <c r="G191" s="17">
        <v>534.58</v>
      </c>
      <c r="H191" s="16"/>
      <c r="I191" s="17">
        <v>1389.78</v>
      </c>
      <c r="J191" s="17"/>
      <c r="K191" s="17">
        <v>534.58</v>
      </c>
      <c r="L191" s="43"/>
      <c r="M191" s="17">
        <v>1389.78</v>
      </c>
      <c r="N191" s="17"/>
      <c r="O191" s="17">
        <v>534.58</v>
      </c>
      <c r="P191" s="19">
        <f>I191+K191-M191-O191</f>
        <v>0</v>
      </c>
    </row>
    <row r="192" ht="12" customHeight="1" spans="1:16">
      <c r="A192" s="14">
        <v>92</v>
      </c>
      <c r="B192" s="15" t="s">
        <v>107</v>
      </c>
      <c r="C192" s="18"/>
      <c r="D192" s="16">
        <v>58.6</v>
      </c>
      <c r="E192" s="17"/>
      <c r="F192" s="17">
        <v>32.74</v>
      </c>
      <c r="G192" s="17"/>
      <c r="H192" s="16">
        <v>58.6</v>
      </c>
      <c r="I192" s="17"/>
      <c r="J192" s="17">
        <v>32.74</v>
      </c>
      <c r="K192" s="17"/>
      <c r="L192" s="43">
        <v>58.6</v>
      </c>
      <c r="M192" s="17"/>
      <c r="N192" s="17">
        <v>32.74</v>
      </c>
      <c r="O192" s="17"/>
      <c r="P192" s="19"/>
    </row>
    <row r="193" ht="12" customHeight="1" spans="1:16">
      <c r="A193" s="14"/>
      <c r="B193" s="15"/>
      <c r="C193" s="18">
        <v>25</v>
      </c>
      <c r="D193" s="16"/>
      <c r="E193" s="17">
        <v>1689.13</v>
      </c>
      <c r="F193" s="17"/>
      <c r="G193" s="17">
        <v>758.49</v>
      </c>
      <c r="H193" s="16"/>
      <c r="I193" s="17">
        <v>1689.13</v>
      </c>
      <c r="J193" s="17"/>
      <c r="K193" s="17">
        <v>758.49</v>
      </c>
      <c r="L193" s="43"/>
      <c r="M193" s="17">
        <v>1689.13</v>
      </c>
      <c r="N193" s="17"/>
      <c r="O193" s="17">
        <v>758.49</v>
      </c>
      <c r="P193" s="19">
        <f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76.53</v>
      </c>
      <c r="E194" s="17"/>
      <c r="F194" s="17">
        <v>27.94</v>
      </c>
      <c r="G194" s="17"/>
      <c r="H194" s="16">
        <v>76.53</v>
      </c>
      <c r="I194" s="17"/>
      <c r="J194" s="17">
        <v>27.94</v>
      </c>
      <c r="K194" s="17"/>
      <c r="L194" s="43">
        <v>76.53</v>
      </c>
      <c r="M194" s="17"/>
      <c r="N194" s="17">
        <v>27.94</v>
      </c>
      <c r="O194" s="17"/>
      <c r="P194" s="19"/>
    </row>
    <row r="195" ht="12" customHeight="1" spans="1:16">
      <c r="A195" s="14"/>
      <c r="B195" s="15"/>
      <c r="C195" s="18">
        <v>25</v>
      </c>
      <c r="D195" s="16"/>
      <c r="E195" s="17">
        <v>2240.84</v>
      </c>
      <c r="F195" s="17"/>
      <c r="G195" s="17">
        <v>945.89</v>
      </c>
      <c r="H195" s="16"/>
      <c r="I195" s="17">
        <v>2240.84</v>
      </c>
      <c r="J195" s="17"/>
      <c r="K195" s="17">
        <v>945.89</v>
      </c>
      <c r="L195" s="43"/>
      <c r="M195" s="17">
        <v>2240.84</v>
      </c>
      <c r="N195" s="17"/>
      <c r="O195" s="17">
        <v>945.89</v>
      </c>
      <c r="P195" s="19">
        <f>I195+K195-M195-O195</f>
        <v>0</v>
      </c>
    </row>
    <row r="196" ht="12" customHeight="1" spans="1:16">
      <c r="A196" s="14">
        <v>94</v>
      </c>
      <c r="B196" s="15" t="s">
        <v>109</v>
      </c>
      <c r="C196" s="18"/>
      <c r="D196" s="16">
        <v>102.74</v>
      </c>
      <c r="E196" s="17"/>
      <c r="F196" s="17">
        <v>47.73</v>
      </c>
      <c r="G196" s="17"/>
      <c r="H196" s="16">
        <v>102.74</v>
      </c>
      <c r="I196" s="17"/>
      <c r="J196" s="17">
        <v>47.73</v>
      </c>
      <c r="K196" s="17"/>
      <c r="L196" s="43">
        <v>102.74</v>
      </c>
      <c r="M196" s="17"/>
      <c r="N196" s="17">
        <v>47.73</v>
      </c>
      <c r="O196" s="17"/>
      <c r="P196" s="19"/>
    </row>
    <row r="197" ht="12" customHeight="1" spans="1:16">
      <c r="A197" s="14"/>
      <c r="B197" s="15"/>
      <c r="C197" s="18">
        <v>25</v>
      </c>
      <c r="D197" s="16"/>
      <c r="E197" s="17">
        <v>2519.16</v>
      </c>
      <c r="F197" s="17"/>
      <c r="G197" s="17">
        <v>1735.95</v>
      </c>
      <c r="H197" s="16"/>
      <c r="I197" s="17">
        <v>2519.16</v>
      </c>
      <c r="J197" s="17"/>
      <c r="K197" s="17">
        <v>1735.95</v>
      </c>
      <c r="L197" s="43"/>
      <c r="M197" s="17">
        <v>2519.16</v>
      </c>
      <c r="N197" s="17"/>
      <c r="O197" s="17">
        <v>1735.95</v>
      </c>
      <c r="P197" s="19">
        <f>I197+K197-M197-O197</f>
        <v>0</v>
      </c>
    </row>
    <row r="198" ht="12" customHeight="1" spans="1:16">
      <c r="A198" s="14">
        <v>95</v>
      </c>
      <c r="B198" s="15" t="s">
        <v>110</v>
      </c>
      <c r="C198" s="18"/>
      <c r="D198" s="16">
        <v>98.79</v>
      </c>
      <c r="E198" s="17"/>
      <c r="F198" s="17">
        <v>91.15</v>
      </c>
      <c r="G198" s="17"/>
      <c r="H198" s="16">
        <v>98.79</v>
      </c>
      <c r="I198" s="17"/>
      <c r="J198" s="17">
        <v>91.15</v>
      </c>
      <c r="K198" s="17"/>
      <c r="L198" s="43">
        <v>98.79</v>
      </c>
      <c r="M198" s="17"/>
      <c r="N198" s="17">
        <v>91.15</v>
      </c>
      <c r="O198" s="17"/>
      <c r="P198" s="19"/>
    </row>
    <row r="199" ht="12" customHeight="1" spans="1:16">
      <c r="A199" s="14"/>
      <c r="B199" s="15"/>
      <c r="C199" s="18">
        <v>25</v>
      </c>
      <c r="D199" s="16"/>
      <c r="E199" s="17">
        <v>3447.32</v>
      </c>
      <c r="F199" s="17"/>
      <c r="G199" s="17">
        <v>2704.76</v>
      </c>
      <c r="H199" s="16"/>
      <c r="I199" s="17">
        <v>3447.32</v>
      </c>
      <c r="J199" s="17"/>
      <c r="K199" s="17">
        <v>2704.76</v>
      </c>
      <c r="L199" s="43"/>
      <c r="M199" s="17">
        <v>3447.32</v>
      </c>
      <c r="N199" s="17"/>
      <c r="O199" s="17">
        <v>2704.76</v>
      </c>
      <c r="P199" s="19">
        <f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176.99</v>
      </c>
      <c r="E200" s="17"/>
      <c r="F200" s="17">
        <v>125.23</v>
      </c>
      <c r="G200" s="17"/>
      <c r="H200" s="16">
        <v>176.99</v>
      </c>
      <c r="I200" s="17"/>
      <c r="J200" s="17">
        <v>125.23</v>
      </c>
      <c r="K200" s="17"/>
      <c r="L200" s="43">
        <v>176.99</v>
      </c>
      <c r="M200" s="17"/>
      <c r="N200" s="17">
        <v>125.23</v>
      </c>
      <c r="O200" s="17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3531.38</v>
      </c>
      <c r="F201" s="17"/>
      <c r="G201" s="17">
        <v>2988.01</v>
      </c>
      <c r="H201" s="16"/>
      <c r="I201" s="17">
        <v>3531.38</v>
      </c>
      <c r="J201" s="17"/>
      <c r="K201" s="17">
        <v>2988.01</v>
      </c>
      <c r="L201" s="43"/>
      <c r="M201" s="17">
        <v>3531.38</v>
      </c>
      <c r="N201" s="17"/>
      <c r="O201" s="17">
        <v>2988.01</v>
      </c>
      <c r="P201" s="19">
        <f>I201+K201-M201-O201</f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105.52</v>
      </c>
      <c r="E202" s="17"/>
      <c r="F202" s="17">
        <v>113.81</v>
      </c>
      <c r="G202" s="17"/>
      <c r="H202" s="16">
        <v>105.52</v>
      </c>
      <c r="I202" s="17"/>
      <c r="J202" s="17">
        <v>113.81</v>
      </c>
      <c r="K202" s="17"/>
      <c r="L202" s="43">
        <v>105.52</v>
      </c>
      <c r="M202" s="17"/>
      <c r="N202" s="17">
        <v>113.81</v>
      </c>
      <c r="O202" s="17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4418.46</v>
      </c>
      <c r="F203" s="17"/>
      <c r="G203" s="17">
        <v>3050.78</v>
      </c>
      <c r="H203" s="16"/>
      <c r="I203" s="17">
        <v>4418.46</v>
      </c>
      <c r="J203" s="17"/>
      <c r="K203" s="17">
        <v>3050.78</v>
      </c>
      <c r="L203" s="43"/>
      <c r="M203" s="17">
        <v>4418.46</v>
      </c>
      <c r="N203" s="17"/>
      <c r="O203" s="17">
        <v>3050.78</v>
      </c>
      <c r="P203" s="19">
        <f>I203+K203-M203-O203</f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247.96</v>
      </c>
      <c r="E204" s="17"/>
      <c r="F204" s="17">
        <v>130.25</v>
      </c>
      <c r="G204" s="17"/>
      <c r="H204" s="16">
        <v>247.96</v>
      </c>
      <c r="I204" s="17"/>
      <c r="J204" s="17">
        <v>130.25</v>
      </c>
      <c r="K204" s="17"/>
      <c r="L204" s="43">
        <v>247.96</v>
      </c>
      <c r="M204" s="17"/>
      <c r="N204" s="17">
        <v>130.25</v>
      </c>
      <c r="O204" s="17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8074.52</v>
      </c>
      <c r="F205" s="17"/>
      <c r="G205" s="17">
        <v>3327.69</v>
      </c>
      <c r="H205" s="16"/>
      <c r="I205" s="17">
        <v>8074.52</v>
      </c>
      <c r="J205" s="17"/>
      <c r="K205" s="17">
        <v>3327.69</v>
      </c>
      <c r="L205" s="43"/>
      <c r="M205" s="17">
        <v>8074.52</v>
      </c>
      <c r="N205" s="17"/>
      <c r="O205" s="17">
        <v>3327.69</v>
      </c>
      <c r="P205" s="19">
        <f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398</v>
      </c>
      <c r="E206" s="17"/>
      <c r="F206" s="17">
        <v>135.96</v>
      </c>
      <c r="G206" s="17"/>
      <c r="H206" s="16">
        <v>398</v>
      </c>
      <c r="I206" s="17"/>
      <c r="J206" s="17">
        <v>135.96</v>
      </c>
      <c r="K206" s="17"/>
      <c r="L206" s="43">
        <v>398</v>
      </c>
      <c r="M206" s="17"/>
      <c r="N206" s="17">
        <v>135.96</v>
      </c>
      <c r="O206" s="17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11752.57</v>
      </c>
      <c r="F207" s="17"/>
      <c r="G207" s="17">
        <v>3300.06</v>
      </c>
      <c r="H207" s="16"/>
      <c r="I207" s="17">
        <v>11752.57</v>
      </c>
      <c r="J207" s="17"/>
      <c r="K207" s="17">
        <v>3300.06</v>
      </c>
      <c r="L207" s="43"/>
      <c r="M207" s="17">
        <v>11752.57</v>
      </c>
      <c r="N207" s="17"/>
      <c r="O207" s="17">
        <v>3300.06</v>
      </c>
      <c r="P207" s="19">
        <f>I207+K207-M207-O207</f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542.2</v>
      </c>
      <c r="E208" s="17"/>
      <c r="F208" s="17">
        <v>128.04</v>
      </c>
      <c r="G208" s="17"/>
      <c r="H208" s="16">
        <v>542.2</v>
      </c>
      <c r="I208" s="17"/>
      <c r="J208" s="17">
        <v>128.04</v>
      </c>
      <c r="K208" s="17"/>
      <c r="L208" s="43">
        <v>542.2</v>
      </c>
      <c r="M208" s="17"/>
      <c r="N208" s="17">
        <v>128.04</v>
      </c>
      <c r="O208" s="17"/>
      <c r="P208" s="19"/>
    </row>
    <row r="209" ht="12" customHeight="1" spans="1:16">
      <c r="A209" s="14"/>
      <c r="B209" s="15"/>
      <c r="C209" s="18">
        <v>25</v>
      </c>
      <c r="D209" s="16"/>
      <c r="E209" s="17">
        <v>13324</v>
      </c>
      <c r="F209" s="17"/>
      <c r="G209" s="17">
        <v>3194.08</v>
      </c>
      <c r="H209" s="16"/>
      <c r="I209" s="17">
        <v>13324</v>
      </c>
      <c r="J209" s="17"/>
      <c r="K209" s="17">
        <v>3194.08</v>
      </c>
      <c r="L209" s="43"/>
      <c r="M209" s="17">
        <v>13324</v>
      </c>
      <c r="N209" s="17"/>
      <c r="O209" s="17">
        <v>3194.08</v>
      </c>
      <c r="P209" s="19">
        <f>I209+K209-M209-O209</f>
        <v>0</v>
      </c>
    </row>
    <row r="210" ht="12" customHeight="1" spans="1:16">
      <c r="A210" s="14">
        <v>101</v>
      </c>
      <c r="B210" s="15" t="s">
        <v>116</v>
      </c>
      <c r="C210" s="18"/>
      <c r="D210" s="16">
        <v>523.72</v>
      </c>
      <c r="E210" s="17"/>
      <c r="F210" s="17">
        <v>127.48</v>
      </c>
      <c r="G210" s="17"/>
      <c r="H210" s="16">
        <v>523.72</v>
      </c>
      <c r="I210" s="17"/>
      <c r="J210" s="17">
        <v>127.48</v>
      </c>
      <c r="K210" s="17"/>
      <c r="L210" s="43">
        <v>523.72</v>
      </c>
      <c r="M210" s="17"/>
      <c r="N210" s="17">
        <v>127.48</v>
      </c>
      <c r="O210" s="17"/>
      <c r="P210" s="19"/>
    </row>
    <row r="211" ht="12" customHeight="1" spans="1:16">
      <c r="A211" s="14"/>
      <c r="B211" s="15"/>
      <c r="C211" s="18">
        <v>25</v>
      </c>
      <c r="D211" s="16"/>
      <c r="E211" s="17">
        <v>13030.47</v>
      </c>
      <c r="F211" s="17"/>
      <c r="G211" s="17">
        <v>3135.3</v>
      </c>
      <c r="H211" s="16"/>
      <c r="I211" s="17">
        <v>13030.47</v>
      </c>
      <c r="J211" s="17"/>
      <c r="K211" s="17">
        <v>3135.3</v>
      </c>
      <c r="L211" s="43"/>
      <c r="M211" s="17">
        <v>13030.47</v>
      </c>
      <c r="N211" s="17"/>
      <c r="O211" s="17">
        <v>3135.3</v>
      </c>
      <c r="P211" s="19">
        <f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518.72</v>
      </c>
      <c r="E212" s="17"/>
      <c r="F212" s="17">
        <v>123.34</v>
      </c>
      <c r="G212" s="17"/>
      <c r="H212" s="16">
        <v>518.72</v>
      </c>
      <c r="I212" s="17"/>
      <c r="J212" s="17">
        <v>123.34</v>
      </c>
      <c r="K212" s="17"/>
      <c r="L212" s="43">
        <v>518.72</v>
      </c>
      <c r="M212" s="17"/>
      <c r="N212" s="17">
        <v>123.34</v>
      </c>
      <c r="O212" s="17"/>
      <c r="P212" s="19"/>
    </row>
    <row r="213" ht="12" customHeight="1" spans="1:16">
      <c r="A213" s="14"/>
      <c r="B213" s="15"/>
      <c r="C213" s="18">
        <v>25</v>
      </c>
      <c r="D213" s="16"/>
      <c r="E213" s="17">
        <v>12897.16</v>
      </c>
      <c r="F213" s="17"/>
      <c r="G213" s="17">
        <v>3265.68</v>
      </c>
      <c r="H213" s="16"/>
      <c r="I213" s="17">
        <v>12897.16</v>
      </c>
      <c r="J213" s="17"/>
      <c r="K213" s="17">
        <v>3265.68</v>
      </c>
      <c r="L213" s="43"/>
      <c r="M213" s="17">
        <v>12897.16</v>
      </c>
      <c r="N213" s="17"/>
      <c r="O213" s="17">
        <v>3265.68</v>
      </c>
      <c r="P213" s="19">
        <f>I213+K213-M213-O213</f>
        <v>0</v>
      </c>
    </row>
    <row r="214" ht="12" customHeight="1" spans="1:16">
      <c r="A214" s="14">
        <v>103</v>
      </c>
      <c r="B214" s="15" t="s">
        <v>118</v>
      </c>
      <c r="C214" s="18"/>
      <c r="D214" s="16">
        <v>513.05</v>
      </c>
      <c r="E214" s="17"/>
      <c r="F214" s="17">
        <v>137.91</v>
      </c>
      <c r="G214" s="17"/>
      <c r="H214" s="16">
        <v>513.05</v>
      </c>
      <c r="I214" s="17"/>
      <c r="J214" s="17">
        <v>137.91</v>
      </c>
      <c r="K214" s="17"/>
      <c r="L214" s="43">
        <v>513.05</v>
      </c>
      <c r="M214" s="17"/>
      <c r="N214" s="17">
        <v>137.91</v>
      </c>
      <c r="O214" s="17"/>
      <c r="P214" s="19"/>
    </row>
    <row r="215" ht="12" customHeight="1" spans="1:16">
      <c r="A215" s="14"/>
      <c r="B215" s="15"/>
      <c r="C215" s="18">
        <v>25</v>
      </c>
      <c r="D215" s="16"/>
      <c r="E215" s="17">
        <v>13368.47</v>
      </c>
      <c r="F215" s="17"/>
      <c r="G215" s="17">
        <v>3614.92</v>
      </c>
      <c r="H215" s="16"/>
      <c r="I215" s="17">
        <v>13368.47</v>
      </c>
      <c r="J215" s="17"/>
      <c r="K215" s="17">
        <v>3614.92</v>
      </c>
      <c r="L215" s="43"/>
      <c r="M215" s="17">
        <v>13368.47</v>
      </c>
      <c r="N215" s="17"/>
      <c r="O215" s="17">
        <v>3614.92</v>
      </c>
      <c r="P215" s="19">
        <f>I215+K215-M215-O215</f>
        <v>0</v>
      </c>
    </row>
    <row r="216" ht="12" customHeight="1" spans="1:16">
      <c r="A216" s="14">
        <v>104</v>
      </c>
      <c r="B216" s="15" t="s">
        <v>119</v>
      </c>
      <c r="C216" s="18"/>
      <c r="D216" s="16">
        <v>556.42</v>
      </c>
      <c r="E216" s="17"/>
      <c r="F216" s="17">
        <v>151.28</v>
      </c>
      <c r="G216" s="17"/>
      <c r="H216" s="16">
        <v>556.42</v>
      </c>
      <c r="I216" s="17"/>
      <c r="J216" s="17">
        <v>151.28</v>
      </c>
      <c r="K216" s="17"/>
      <c r="L216" s="43">
        <v>556.42</v>
      </c>
      <c r="M216" s="17"/>
      <c r="N216" s="17">
        <v>151.28</v>
      </c>
      <c r="O216" s="17"/>
      <c r="P216" s="19"/>
    </row>
    <row r="217" ht="12" customHeight="1" spans="1:16">
      <c r="A217" s="14"/>
      <c r="B217" s="15"/>
      <c r="C217" s="18">
        <v>25</v>
      </c>
      <c r="D217" s="16"/>
      <c r="E217" s="17">
        <v>14498.62</v>
      </c>
      <c r="F217" s="17"/>
      <c r="G217" s="17">
        <v>3842.44</v>
      </c>
      <c r="H217" s="16"/>
      <c r="I217" s="17">
        <v>14498.62</v>
      </c>
      <c r="J217" s="17"/>
      <c r="K217" s="17">
        <v>3842.44</v>
      </c>
      <c r="L217" s="43"/>
      <c r="M217" s="17">
        <v>14498.62</v>
      </c>
      <c r="N217" s="17"/>
      <c r="O217" s="17">
        <v>3842.44</v>
      </c>
      <c r="P217" s="19">
        <f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603.47</v>
      </c>
      <c r="E218" s="17"/>
      <c r="F218" s="17">
        <v>156.11</v>
      </c>
      <c r="G218" s="17"/>
      <c r="H218" s="16">
        <v>603.47</v>
      </c>
      <c r="I218" s="17"/>
      <c r="J218" s="17">
        <v>156.11</v>
      </c>
      <c r="K218" s="17"/>
      <c r="L218" s="43">
        <v>603.47</v>
      </c>
      <c r="M218" s="17"/>
      <c r="N218" s="17">
        <v>156.11</v>
      </c>
      <c r="O218" s="17"/>
      <c r="P218" s="19"/>
    </row>
    <row r="219" ht="12" customHeight="1" spans="1:16">
      <c r="A219" s="14"/>
      <c r="B219" s="15"/>
      <c r="C219" s="18">
        <v>25</v>
      </c>
      <c r="D219" s="16"/>
      <c r="E219" s="17">
        <v>14478.05</v>
      </c>
      <c r="F219" s="17"/>
      <c r="G219" s="17">
        <v>3886.05</v>
      </c>
      <c r="H219" s="16"/>
      <c r="I219" s="17">
        <v>14478.05</v>
      </c>
      <c r="J219" s="17"/>
      <c r="K219" s="17">
        <v>3886.05</v>
      </c>
      <c r="L219" s="43"/>
      <c r="M219" s="17">
        <v>14478.05</v>
      </c>
      <c r="N219" s="17"/>
      <c r="O219" s="17">
        <v>3886.05</v>
      </c>
      <c r="P219" s="19">
        <f>I219+K219-M219-O219</f>
        <v>0</v>
      </c>
    </row>
    <row r="220" ht="12" customHeight="1" spans="1:16">
      <c r="A220" s="14">
        <v>106</v>
      </c>
      <c r="B220" s="15" t="s">
        <v>121</v>
      </c>
      <c r="C220" s="18"/>
      <c r="D220" s="16">
        <v>554.78</v>
      </c>
      <c r="E220" s="17"/>
      <c r="F220" s="17">
        <v>154.77</v>
      </c>
      <c r="G220" s="17"/>
      <c r="H220" s="16">
        <v>554.78</v>
      </c>
      <c r="I220" s="17"/>
      <c r="J220" s="17">
        <v>154.77</v>
      </c>
      <c r="K220" s="17"/>
      <c r="L220" s="43">
        <v>554.78</v>
      </c>
      <c r="M220" s="17"/>
      <c r="N220" s="17">
        <v>154.77</v>
      </c>
      <c r="O220" s="17"/>
      <c r="P220" s="19"/>
    </row>
    <row r="221" ht="12" customHeight="1" spans="1:16">
      <c r="A221" s="14"/>
      <c r="B221" s="15"/>
      <c r="C221" s="18">
        <v>25</v>
      </c>
      <c r="D221" s="16"/>
      <c r="E221" s="17">
        <v>13557.79</v>
      </c>
      <c r="F221" s="17"/>
      <c r="G221" s="17">
        <v>3860.49</v>
      </c>
      <c r="H221" s="16"/>
      <c r="I221" s="17">
        <v>13557.79</v>
      </c>
      <c r="J221" s="17"/>
      <c r="K221" s="17">
        <v>3860.49</v>
      </c>
      <c r="L221" s="43"/>
      <c r="M221" s="17">
        <v>13557.79</v>
      </c>
      <c r="N221" s="17"/>
      <c r="O221" s="17">
        <v>3860.49</v>
      </c>
      <c r="P221" s="19">
        <f>I221+K221-M221-O221</f>
        <v>0</v>
      </c>
    </row>
    <row r="222" ht="12" customHeight="1" spans="1:16">
      <c r="A222" s="14">
        <v>107</v>
      </c>
      <c r="B222" s="15" t="s">
        <v>122</v>
      </c>
      <c r="C222" s="18"/>
      <c r="D222" s="16">
        <v>529.84</v>
      </c>
      <c r="E222" s="17"/>
      <c r="F222" s="17">
        <v>154.07</v>
      </c>
      <c r="G222" s="17"/>
      <c r="H222" s="16">
        <v>529.84</v>
      </c>
      <c r="I222" s="17"/>
      <c r="J222" s="17">
        <v>154.07</v>
      </c>
      <c r="K222" s="17"/>
      <c r="L222" s="43">
        <v>529.84</v>
      </c>
      <c r="M222" s="17"/>
      <c r="N222" s="17">
        <v>154.07</v>
      </c>
      <c r="O222" s="17"/>
      <c r="P222" s="19"/>
    </row>
    <row r="223" ht="12" customHeight="1" spans="1:16">
      <c r="A223" s="14"/>
      <c r="B223" s="15"/>
      <c r="C223" s="18">
        <v>25</v>
      </c>
      <c r="D223" s="16"/>
      <c r="E223" s="17">
        <v>12901.17</v>
      </c>
      <c r="F223" s="17"/>
      <c r="G223" s="17">
        <v>3848.36</v>
      </c>
      <c r="H223" s="16"/>
      <c r="I223" s="17">
        <v>12901.17</v>
      </c>
      <c r="J223" s="17"/>
      <c r="K223" s="17">
        <v>3848.36</v>
      </c>
      <c r="L223" s="43"/>
      <c r="M223" s="17">
        <v>12901.17</v>
      </c>
      <c r="N223" s="17"/>
      <c r="O223" s="17">
        <v>3848.36</v>
      </c>
      <c r="P223" s="19">
        <f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502.25</v>
      </c>
      <c r="E224" s="17"/>
      <c r="F224" s="17">
        <v>153.8</v>
      </c>
      <c r="G224" s="17"/>
      <c r="H224" s="16">
        <v>502.25</v>
      </c>
      <c r="I224" s="17"/>
      <c r="J224" s="17">
        <v>153.8</v>
      </c>
      <c r="K224" s="17"/>
      <c r="L224" s="43">
        <v>502.25</v>
      </c>
      <c r="M224" s="17"/>
      <c r="N224" s="17">
        <v>153.8</v>
      </c>
      <c r="O224" s="17"/>
      <c r="P224" s="19"/>
    </row>
    <row r="225" ht="12" customHeight="1" spans="1:16">
      <c r="A225" s="14"/>
      <c r="B225" s="15"/>
      <c r="C225" s="18">
        <v>25</v>
      </c>
      <c r="D225" s="16"/>
      <c r="E225" s="17">
        <v>12569.74</v>
      </c>
      <c r="F225" s="17"/>
      <c r="G225" s="17">
        <v>3858.8</v>
      </c>
      <c r="H225" s="16"/>
      <c r="I225" s="17">
        <v>12569.74</v>
      </c>
      <c r="J225" s="17"/>
      <c r="K225" s="17">
        <v>3858.8</v>
      </c>
      <c r="L225" s="43"/>
      <c r="M225" s="17">
        <v>12569.74</v>
      </c>
      <c r="N225" s="17"/>
      <c r="O225" s="17">
        <v>3858.8</v>
      </c>
      <c r="P225" s="19">
        <f>I225+K225-M225-O225</f>
        <v>0</v>
      </c>
    </row>
    <row r="226" ht="12" customHeight="1" spans="1:16">
      <c r="A226" s="14">
        <v>109</v>
      </c>
      <c r="B226" s="15" t="s">
        <v>124</v>
      </c>
      <c r="C226" s="18"/>
      <c r="D226" s="16">
        <v>503.33</v>
      </c>
      <c r="E226" s="17"/>
      <c r="F226" s="17">
        <v>154.9</v>
      </c>
      <c r="G226" s="17"/>
      <c r="H226" s="16">
        <v>503.33</v>
      </c>
      <c r="I226" s="17"/>
      <c r="J226" s="17">
        <v>154.9</v>
      </c>
      <c r="K226" s="17"/>
      <c r="L226" s="43">
        <v>503.33</v>
      </c>
      <c r="M226" s="17"/>
      <c r="N226" s="17">
        <v>154.9</v>
      </c>
      <c r="O226" s="17"/>
      <c r="P226" s="19"/>
    </row>
    <row r="227" ht="12" customHeight="1" spans="1:16">
      <c r="A227" s="14"/>
      <c r="B227" s="15"/>
      <c r="C227" s="18">
        <v>25</v>
      </c>
      <c r="D227" s="16"/>
      <c r="E227" s="17">
        <v>12631.26</v>
      </c>
      <c r="F227" s="17"/>
      <c r="G227" s="17">
        <v>3876.26</v>
      </c>
      <c r="H227" s="16"/>
      <c r="I227" s="17">
        <v>12631.26</v>
      </c>
      <c r="J227" s="17"/>
      <c r="K227" s="17">
        <v>3876.26</v>
      </c>
      <c r="L227" s="43"/>
      <c r="M227" s="17">
        <v>12631.26</v>
      </c>
      <c r="N227" s="17"/>
      <c r="O227" s="17">
        <v>3876.26</v>
      </c>
      <c r="P227" s="19">
        <f>I227+K227-M227-O227</f>
        <v>0</v>
      </c>
    </row>
    <row r="228" ht="12" customHeight="1" spans="1:16">
      <c r="A228" s="14">
        <v>110</v>
      </c>
      <c r="B228" s="15" t="s">
        <v>125</v>
      </c>
      <c r="C228" s="18"/>
      <c r="D228" s="16">
        <v>507.17</v>
      </c>
      <c r="E228" s="17"/>
      <c r="F228" s="17">
        <v>155.2</v>
      </c>
      <c r="G228" s="17"/>
      <c r="H228" s="16">
        <v>507.17</v>
      </c>
      <c r="I228" s="17"/>
      <c r="J228" s="17">
        <v>155.2</v>
      </c>
      <c r="K228" s="17"/>
      <c r="L228" s="43">
        <v>507.17</v>
      </c>
      <c r="M228" s="17"/>
      <c r="N228" s="17">
        <v>155.2</v>
      </c>
      <c r="O228" s="17"/>
      <c r="P228" s="19"/>
    </row>
    <row r="229" ht="12" customHeight="1" spans="1:16">
      <c r="A229" s="14"/>
      <c r="B229" s="15"/>
      <c r="C229" s="18">
        <v>25</v>
      </c>
      <c r="D229" s="16"/>
      <c r="E229" s="17">
        <v>12720.13</v>
      </c>
      <c r="F229" s="17"/>
      <c r="G229" s="17">
        <v>3882.02</v>
      </c>
      <c r="H229" s="16"/>
      <c r="I229" s="17">
        <v>12720.13</v>
      </c>
      <c r="J229" s="17"/>
      <c r="K229" s="17">
        <v>3882.02</v>
      </c>
      <c r="L229" s="43"/>
      <c r="M229" s="17">
        <v>12720.13</v>
      </c>
      <c r="N229" s="17"/>
      <c r="O229" s="17">
        <v>3882.02</v>
      </c>
      <c r="P229" s="19">
        <f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510.44</v>
      </c>
      <c r="E230" s="17"/>
      <c r="F230" s="17">
        <v>155.37</v>
      </c>
      <c r="G230" s="17"/>
      <c r="H230" s="16">
        <v>510.44</v>
      </c>
      <c r="I230" s="17"/>
      <c r="J230" s="17">
        <v>155.37</v>
      </c>
      <c r="K230" s="17"/>
      <c r="L230" s="43">
        <v>510.44</v>
      </c>
      <c r="M230" s="17"/>
      <c r="N230" s="17">
        <v>155.37</v>
      </c>
      <c r="O230" s="17"/>
      <c r="P230" s="19"/>
    </row>
    <row r="231" ht="12" customHeight="1" spans="1:16">
      <c r="A231" s="14"/>
      <c r="B231" s="15"/>
      <c r="C231" s="18">
        <v>25</v>
      </c>
      <c r="D231" s="16"/>
      <c r="E231" s="17">
        <v>13354.92</v>
      </c>
      <c r="F231" s="17"/>
      <c r="G231" s="17">
        <v>3909.65</v>
      </c>
      <c r="H231" s="16"/>
      <c r="I231" s="17">
        <v>13354.92</v>
      </c>
      <c r="J231" s="17"/>
      <c r="K231" s="17">
        <v>3909.65</v>
      </c>
      <c r="L231" s="43"/>
      <c r="M231" s="17">
        <v>13354.92</v>
      </c>
      <c r="N231" s="17"/>
      <c r="O231" s="17">
        <v>3909.65</v>
      </c>
      <c r="P231" s="19">
        <f>I231+K231-M231-O231</f>
        <v>0</v>
      </c>
    </row>
    <row r="232" ht="12" customHeight="1" spans="1:16">
      <c r="A232" s="14">
        <v>112</v>
      </c>
      <c r="B232" s="15" t="s">
        <v>127</v>
      </c>
      <c r="C232" s="18"/>
      <c r="D232" s="16">
        <v>557.95</v>
      </c>
      <c r="E232" s="17"/>
      <c r="F232" s="17">
        <v>157.41</v>
      </c>
      <c r="G232" s="17"/>
      <c r="H232" s="16">
        <v>557.95</v>
      </c>
      <c r="I232" s="17"/>
      <c r="J232" s="17">
        <v>157.41</v>
      </c>
      <c r="K232" s="17"/>
      <c r="L232" s="43">
        <v>557.95</v>
      </c>
      <c r="M232" s="17"/>
      <c r="N232" s="17">
        <v>157.41</v>
      </c>
      <c r="O232" s="17"/>
      <c r="P232" s="19"/>
    </row>
    <row r="233" ht="12" customHeight="1" spans="1:16">
      <c r="A233" s="14"/>
      <c r="B233" s="15"/>
      <c r="C233" s="18">
        <v>25</v>
      </c>
      <c r="D233" s="16"/>
      <c r="E233" s="17">
        <v>14034.21</v>
      </c>
      <c r="F233" s="17"/>
      <c r="G233" s="17">
        <v>3920.64</v>
      </c>
      <c r="H233" s="16"/>
      <c r="I233" s="17">
        <v>14034.21</v>
      </c>
      <c r="J233" s="17"/>
      <c r="K233" s="17">
        <v>3920.64</v>
      </c>
      <c r="L233" s="43"/>
      <c r="M233" s="17">
        <v>14034.21</v>
      </c>
      <c r="N233" s="17"/>
      <c r="O233" s="17">
        <v>3920.64</v>
      </c>
      <c r="P233" s="19">
        <f>I233+K233-M233-O233</f>
        <v>0</v>
      </c>
    </row>
    <row r="234" ht="12" customHeight="1" spans="1:16">
      <c r="A234" s="14">
        <v>113</v>
      </c>
      <c r="B234" s="15" t="s">
        <v>128</v>
      </c>
      <c r="C234" s="18"/>
      <c r="D234" s="16">
        <v>564.78</v>
      </c>
      <c r="E234" s="17"/>
      <c r="F234" s="17">
        <v>156.25</v>
      </c>
      <c r="G234" s="17"/>
      <c r="H234" s="16">
        <v>564.78</v>
      </c>
      <c r="I234" s="17"/>
      <c r="J234" s="17">
        <v>156.25</v>
      </c>
      <c r="K234" s="17"/>
      <c r="L234" s="43">
        <v>564.78</v>
      </c>
      <c r="M234" s="17"/>
      <c r="N234" s="17">
        <v>156.25</v>
      </c>
      <c r="O234" s="17"/>
      <c r="P234" s="19"/>
    </row>
    <row r="235" ht="12" customHeight="1" spans="1:16">
      <c r="A235" s="14"/>
      <c r="B235" s="15"/>
      <c r="C235" s="18">
        <v>25</v>
      </c>
      <c r="D235" s="16"/>
      <c r="E235" s="17">
        <v>14054.6</v>
      </c>
      <c r="F235" s="17"/>
      <c r="G235" s="17">
        <v>3910.43</v>
      </c>
      <c r="H235" s="16"/>
      <c r="I235" s="17">
        <v>14054.6</v>
      </c>
      <c r="J235" s="17"/>
      <c r="K235" s="17">
        <v>3910.43</v>
      </c>
      <c r="L235" s="43"/>
      <c r="M235" s="17">
        <v>14054.6</v>
      </c>
      <c r="N235" s="17"/>
      <c r="O235" s="17">
        <v>3910.43</v>
      </c>
      <c r="P235" s="19">
        <f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559.58</v>
      </c>
      <c r="E236" s="17"/>
      <c r="F236" s="17">
        <v>156.59</v>
      </c>
      <c r="G236" s="17"/>
      <c r="H236" s="16">
        <v>559.58</v>
      </c>
      <c r="I236" s="17"/>
      <c r="J236" s="17">
        <v>156.59</v>
      </c>
      <c r="K236" s="17"/>
      <c r="L236" s="43">
        <v>559.58</v>
      </c>
      <c r="M236" s="17"/>
      <c r="N236" s="17">
        <v>156.59</v>
      </c>
      <c r="O236" s="17"/>
      <c r="P236" s="19"/>
    </row>
    <row r="237" ht="12" customHeight="1" spans="1:16">
      <c r="A237" s="14"/>
      <c r="B237" s="15"/>
      <c r="C237" s="18">
        <v>25</v>
      </c>
      <c r="D237" s="16"/>
      <c r="E237" s="17">
        <v>13998.5</v>
      </c>
      <c r="F237" s="17"/>
      <c r="G237" s="17">
        <v>3919.39</v>
      </c>
      <c r="H237" s="16"/>
      <c r="I237" s="17">
        <v>13998.5</v>
      </c>
      <c r="J237" s="17"/>
      <c r="K237" s="17">
        <v>3919.39</v>
      </c>
      <c r="L237" s="43"/>
      <c r="M237" s="17">
        <v>13998.5</v>
      </c>
      <c r="N237" s="17"/>
      <c r="O237" s="17">
        <v>3919.39</v>
      </c>
      <c r="P237" s="19">
        <f>I237+K237-M237-O237</f>
        <v>0</v>
      </c>
    </row>
    <row r="238" ht="12" customHeight="1" spans="1:16">
      <c r="A238" s="14">
        <v>115</v>
      </c>
      <c r="B238" s="15" t="s">
        <v>130</v>
      </c>
      <c r="C238" s="18"/>
      <c r="D238" s="16">
        <v>560.3</v>
      </c>
      <c r="E238" s="17"/>
      <c r="F238" s="17">
        <v>156.96</v>
      </c>
      <c r="G238" s="17"/>
      <c r="H238" s="16">
        <v>560.3</v>
      </c>
      <c r="I238" s="17"/>
      <c r="J238" s="17">
        <v>156.96</v>
      </c>
      <c r="K238" s="17"/>
      <c r="L238" s="43">
        <v>560.3</v>
      </c>
      <c r="M238" s="17"/>
      <c r="N238" s="17">
        <v>156.96</v>
      </c>
      <c r="O238" s="17"/>
      <c r="P238" s="19"/>
    </row>
    <row r="239" ht="12" customHeight="1" spans="1:16">
      <c r="A239" s="14"/>
      <c r="B239" s="15"/>
      <c r="C239" s="18">
        <v>25</v>
      </c>
      <c r="D239" s="16"/>
      <c r="E239" s="17">
        <v>14050.26</v>
      </c>
      <c r="F239" s="17"/>
      <c r="G239" s="17">
        <v>3927.88</v>
      </c>
      <c r="H239" s="16"/>
      <c r="I239" s="17">
        <v>14050.26</v>
      </c>
      <c r="J239" s="17"/>
      <c r="K239" s="17">
        <v>3927.88</v>
      </c>
      <c r="L239" s="43"/>
      <c r="M239" s="17">
        <v>14050.26</v>
      </c>
      <c r="N239" s="17"/>
      <c r="O239" s="17">
        <v>3927.88</v>
      </c>
      <c r="P239" s="19">
        <f>I239+K239-M239-O239</f>
        <v>0</v>
      </c>
    </row>
    <row r="240" ht="12" customHeight="1" spans="1:16">
      <c r="A240" s="14">
        <v>116</v>
      </c>
      <c r="B240" s="15" t="s">
        <v>131</v>
      </c>
      <c r="C240" s="18"/>
      <c r="D240" s="16">
        <v>563.73</v>
      </c>
      <c r="E240" s="17"/>
      <c r="F240" s="17">
        <v>157.27</v>
      </c>
      <c r="G240" s="17"/>
      <c r="H240" s="16">
        <v>563.73</v>
      </c>
      <c r="I240" s="17"/>
      <c r="J240" s="17">
        <v>157.27</v>
      </c>
      <c r="K240" s="17"/>
      <c r="L240" s="43">
        <v>563.73</v>
      </c>
      <c r="M240" s="17"/>
      <c r="N240" s="17">
        <v>157.27</v>
      </c>
      <c r="O240" s="17"/>
      <c r="P240" s="19"/>
    </row>
    <row r="241" ht="12" customHeight="1" spans="1:16">
      <c r="A241" s="14"/>
      <c r="B241" s="15"/>
      <c r="C241" s="18">
        <v>25</v>
      </c>
      <c r="D241" s="16"/>
      <c r="E241" s="17">
        <v>14112</v>
      </c>
      <c r="F241" s="17"/>
      <c r="G241" s="17">
        <v>3939.52</v>
      </c>
      <c r="H241" s="16"/>
      <c r="I241" s="17">
        <v>14112</v>
      </c>
      <c r="J241" s="17"/>
      <c r="K241" s="17">
        <v>3939.52</v>
      </c>
      <c r="L241" s="43"/>
      <c r="M241" s="17">
        <v>14112</v>
      </c>
      <c r="N241" s="17"/>
      <c r="O241" s="17">
        <v>3939.52</v>
      </c>
      <c r="P241" s="19">
        <f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565.23</v>
      </c>
      <c r="E242" s="17"/>
      <c r="F242" s="17">
        <v>157.89</v>
      </c>
      <c r="G242" s="17"/>
      <c r="H242" s="16">
        <v>565.23</v>
      </c>
      <c r="I242" s="17"/>
      <c r="J242" s="17">
        <v>157.89</v>
      </c>
      <c r="K242" s="17"/>
      <c r="L242" s="43">
        <v>565.23</v>
      </c>
      <c r="M242" s="17"/>
      <c r="N242" s="17">
        <v>157.89</v>
      </c>
      <c r="O242" s="17"/>
      <c r="P242" s="19"/>
    </row>
    <row r="243" ht="12" customHeight="1" spans="1:16">
      <c r="A243" s="14"/>
      <c r="B243" s="15"/>
      <c r="C243" s="18">
        <v>25</v>
      </c>
      <c r="D243" s="16"/>
      <c r="E243" s="17">
        <v>14030.5</v>
      </c>
      <c r="F243" s="17"/>
      <c r="G243" s="17">
        <v>3950.01</v>
      </c>
      <c r="H243" s="16"/>
      <c r="I243" s="17">
        <v>14030.5</v>
      </c>
      <c r="J243" s="17"/>
      <c r="K243" s="17">
        <v>3950.01</v>
      </c>
      <c r="L243" s="43"/>
      <c r="M243" s="17">
        <v>14030.5</v>
      </c>
      <c r="N243" s="17"/>
      <c r="O243" s="17">
        <v>3950.01</v>
      </c>
      <c r="P243" s="19">
        <f>I243+K243-M243-O243</f>
        <v>0</v>
      </c>
    </row>
    <row r="244" ht="12" customHeight="1" spans="1:16">
      <c r="A244" s="14">
        <v>118</v>
      </c>
      <c r="B244" s="15" t="s">
        <v>133</v>
      </c>
      <c r="C244" s="18"/>
      <c r="D244" s="16">
        <v>557.21</v>
      </c>
      <c r="E244" s="17"/>
      <c r="F244" s="17">
        <v>158.11</v>
      </c>
      <c r="G244" s="17"/>
      <c r="H244" s="16">
        <v>557.21</v>
      </c>
      <c r="I244" s="17"/>
      <c r="J244" s="17">
        <v>158.11</v>
      </c>
      <c r="K244" s="17"/>
      <c r="L244" s="43">
        <v>557.21</v>
      </c>
      <c r="M244" s="17"/>
      <c r="N244" s="17">
        <v>158.11</v>
      </c>
      <c r="O244" s="17"/>
      <c r="P244" s="19"/>
    </row>
    <row r="245" ht="12" customHeight="1" spans="1:16">
      <c r="A245" s="14"/>
      <c r="B245" s="15"/>
      <c r="C245" s="18">
        <v>25</v>
      </c>
      <c r="D245" s="16"/>
      <c r="E245" s="17">
        <v>14133.41</v>
      </c>
      <c r="F245" s="17"/>
      <c r="G245" s="17">
        <v>3951.71</v>
      </c>
      <c r="H245" s="16"/>
      <c r="I245" s="17">
        <v>14133.41</v>
      </c>
      <c r="J245" s="17"/>
      <c r="K245" s="17">
        <v>3951.71</v>
      </c>
      <c r="L245" s="43"/>
      <c r="M245" s="17">
        <v>14133.41</v>
      </c>
      <c r="N245" s="17"/>
      <c r="O245" s="17">
        <v>3951.71</v>
      </c>
      <c r="P245" s="19">
        <f>I245+K245-M245-O245</f>
        <v>0</v>
      </c>
    </row>
    <row r="246" ht="12" customHeight="1" spans="1:16">
      <c r="A246" s="14">
        <v>119</v>
      </c>
      <c r="B246" s="15" t="s">
        <v>134</v>
      </c>
      <c r="C246" s="18"/>
      <c r="D246" s="16">
        <v>573.47</v>
      </c>
      <c r="E246" s="17"/>
      <c r="F246" s="17">
        <v>158.03</v>
      </c>
      <c r="G246" s="17"/>
      <c r="H246" s="16">
        <v>573.47</v>
      </c>
      <c r="I246" s="17"/>
      <c r="J246" s="17">
        <v>158.03</v>
      </c>
      <c r="K246" s="17"/>
      <c r="L246" s="43">
        <v>573.47</v>
      </c>
      <c r="M246" s="17"/>
      <c r="N246" s="17">
        <v>158.03</v>
      </c>
      <c r="O246" s="17"/>
      <c r="P246" s="19"/>
    </row>
    <row r="247" ht="12" customHeight="1" spans="1:16">
      <c r="A247" s="14"/>
      <c r="B247" s="15"/>
      <c r="C247" s="18">
        <v>25</v>
      </c>
      <c r="D247" s="16"/>
      <c r="E247" s="17">
        <v>13848.51</v>
      </c>
      <c r="F247" s="17"/>
      <c r="G247" s="17">
        <v>3946.4</v>
      </c>
      <c r="H247" s="16"/>
      <c r="I247" s="17">
        <v>13848.51</v>
      </c>
      <c r="J247" s="17"/>
      <c r="K247" s="17">
        <v>3946.4</v>
      </c>
      <c r="L247" s="43"/>
      <c r="M247" s="17">
        <v>13848.51</v>
      </c>
      <c r="N247" s="17"/>
      <c r="O247" s="17">
        <v>3946.4</v>
      </c>
      <c r="P247" s="19">
        <f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534.41</v>
      </c>
      <c r="E248" s="17"/>
      <c r="F248" s="17">
        <v>157.68</v>
      </c>
      <c r="G248" s="17"/>
      <c r="H248" s="16">
        <v>534.41</v>
      </c>
      <c r="I248" s="17"/>
      <c r="J248" s="17">
        <v>157.68</v>
      </c>
      <c r="K248" s="17"/>
      <c r="L248" s="43">
        <v>534.41</v>
      </c>
      <c r="M248" s="17"/>
      <c r="N248" s="17">
        <v>157.68</v>
      </c>
      <c r="O248" s="17"/>
      <c r="P248" s="19"/>
    </row>
    <row r="249" ht="12" customHeight="1" spans="1:16">
      <c r="A249" s="14"/>
      <c r="B249" s="15"/>
      <c r="C249" s="18">
        <v>25</v>
      </c>
      <c r="D249" s="16"/>
      <c r="E249" s="17">
        <v>12781.79</v>
      </c>
      <c r="F249" s="17"/>
      <c r="G249" s="17">
        <v>3874.3</v>
      </c>
      <c r="H249" s="16"/>
      <c r="I249" s="17">
        <v>12781.79</v>
      </c>
      <c r="J249" s="17"/>
      <c r="K249" s="17">
        <v>3874.3</v>
      </c>
      <c r="L249" s="43"/>
      <c r="M249" s="17">
        <v>12781.79</v>
      </c>
      <c r="N249" s="17"/>
      <c r="O249" s="17">
        <v>3874.3</v>
      </c>
      <c r="P249" s="19">
        <f>I249+K249-M249-O249</f>
        <v>0</v>
      </c>
    </row>
    <row r="250" ht="12" customHeight="1" spans="1:16">
      <c r="A250" s="14">
        <v>121</v>
      </c>
      <c r="B250" s="15" t="s">
        <v>136</v>
      </c>
      <c r="C250" s="18"/>
      <c r="D250" s="16">
        <v>488.13</v>
      </c>
      <c r="E250" s="17"/>
      <c r="F250" s="17">
        <v>152.26</v>
      </c>
      <c r="G250" s="17"/>
      <c r="H250" s="16">
        <v>488.13</v>
      </c>
      <c r="I250" s="17"/>
      <c r="J250" s="17">
        <v>152.26</v>
      </c>
      <c r="K250" s="17"/>
      <c r="L250" s="43">
        <v>488.13</v>
      </c>
      <c r="M250" s="17"/>
      <c r="N250" s="17">
        <v>152.26</v>
      </c>
      <c r="O250" s="17"/>
      <c r="P250" s="19"/>
    </row>
    <row r="251" ht="12" customHeight="1" spans="1:16">
      <c r="A251" s="14"/>
      <c r="B251" s="15"/>
      <c r="C251" s="18">
        <v>25</v>
      </c>
      <c r="D251" s="16"/>
      <c r="E251" s="17">
        <v>11883.13</v>
      </c>
      <c r="F251" s="17"/>
      <c r="G251" s="17">
        <v>3773</v>
      </c>
      <c r="H251" s="16"/>
      <c r="I251" s="17">
        <v>11883.13</v>
      </c>
      <c r="J251" s="17"/>
      <c r="K251" s="17">
        <v>3773</v>
      </c>
      <c r="L251" s="43"/>
      <c r="M251" s="17">
        <v>11883.13</v>
      </c>
      <c r="N251" s="17"/>
      <c r="O251" s="17">
        <v>3773</v>
      </c>
      <c r="P251" s="19">
        <f>I251+K251-M251-O251</f>
        <v>0</v>
      </c>
    </row>
    <row r="252" ht="12" customHeight="1" spans="1:16">
      <c r="A252" s="14">
        <v>122</v>
      </c>
      <c r="B252" s="15" t="s">
        <v>137</v>
      </c>
      <c r="C252" s="18"/>
      <c r="D252" s="16">
        <v>462.52</v>
      </c>
      <c r="E252" s="17"/>
      <c r="F252" s="17">
        <v>149.58</v>
      </c>
      <c r="G252" s="17"/>
      <c r="H252" s="16">
        <v>462.52</v>
      </c>
      <c r="I252" s="17"/>
      <c r="J252" s="17">
        <v>149.58</v>
      </c>
      <c r="K252" s="17"/>
      <c r="L252" s="43">
        <v>462.52</v>
      </c>
      <c r="M252" s="17"/>
      <c r="N252" s="17">
        <v>149.58</v>
      </c>
      <c r="O252" s="17"/>
      <c r="P252" s="19"/>
    </row>
    <row r="253" ht="12" customHeight="1" spans="1:16">
      <c r="A253" s="14"/>
      <c r="B253" s="15"/>
      <c r="C253" s="18">
        <v>25</v>
      </c>
      <c r="D253" s="16"/>
      <c r="E253" s="17">
        <v>9841.13</v>
      </c>
      <c r="F253" s="17"/>
      <c r="G253" s="17">
        <v>3188.38</v>
      </c>
      <c r="H253" s="16"/>
      <c r="I253" s="17">
        <v>9841.13</v>
      </c>
      <c r="J253" s="17"/>
      <c r="K253" s="17">
        <v>3188.38</v>
      </c>
      <c r="L253" s="43"/>
      <c r="M253" s="17">
        <v>9841.13</v>
      </c>
      <c r="N253" s="17"/>
      <c r="O253" s="17">
        <v>3188.38</v>
      </c>
      <c r="P253" s="19">
        <f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324.77</v>
      </c>
      <c r="E254" s="17"/>
      <c r="F254" s="17">
        <v>105.49</v>
      </c>
      <c r="G254" s="17"/>
      <c r="H254" s="16">
        <v>324.77</v>
      </c>
      <c r="I254" s="17"/>
      <c r="J254" s="17">
        <v>105.49</v>
      </c>
      <c r="K254" s="17"/>
      <c r="L254" s="43">
        <v>324.77</v>
      </c>
      <c r="M254" s="17"/>
      <c r="N254" s="17">
        <v>105.49</v>
      </c>
      <c r="O254" s="17"/>
      <c r="P254" s="19"/>
    </row>
    <row r="255" ht="12" customHeight="1" spans="1:16">
      <c r="A255" s="14"/>
      <c r="B255" s="15"/>
      <c r="C255" s="18">
        <v>25</v>
      </c>
      <c r="D255" s="16"/>
      <c r="E255" s="17">
        <v>7302.63</v>
      </c>
      <c r="F255" s="17"/>
      <c r="G255" s="17">
        <v>2661.38</v>
      </c>
      <c r="H255" s="16"/>
      <c r="I255" s="17">
        <v>7302.63</v>
      </c>
      <c r="J255" s="17"/>
      <c r="K255" s="17">
        <v>2661.38</v>
      </c>
      <c r="L255" s="43"/>
      <c r="M255" s="17">
        <v>7302.63</v>
      </c>
      <c r="N255" s="17"/>
      <c r="O255" s="17">
        <v>2661.38</v>
      </c>
      <c r="P255" s="19">
        <f>I255+K255-M255-O255</f>
        <v>0</v>
      </c>
    </row>
    <row r="256" ht="12" customHeight="1" spans="1:16">
      <c r="A256" s="14">
        <v>124</v>
      </c>
      <c r="B256" s="15" t="s">
        <v>139</v>
      </c>
      <c r="C256" s="18"/>
      <c r="D256" s="16">
        <v>259.44</v>
      </c>
      <c r="E256" s="17"/>
      <c r="F256" s="17">
        <v>107.42</v>
      </c>
      <c r="G256" s="17"/>
      <c r="H256" s="16">
        <v>259.44</v>
      </c>
      <c r="I256" s="17"/>
      <c r="J256" s="17">
        <v>107.42</v>
      </c>
      <c r="K256" s="17"/>
      <c r="L256" s="43">
        <v>259.44</v>
      </c>
      <c r="M256" s="17"/>
      <c r="N256" s="17">
        <v>107.42</v>
      </c>
      <c r="O256" s="17"/>
      <c r="P256" s="19"/>
    </row>
    <row r="257" ht="12" customHeight="1" spans="1:16">
      <c r="A257" s="14"/>
      <c r="B257" s="15"/>
      <c r="C257" s="18">
        <v>25</v>
      </c>
      <c r="D257" s="16"/>
      <c r="E257" s="17">
        <v>6145.88</v>
      </c>
      <c r="F257" s="17"/>
      <c r="G257" s="17">
        <v>2627.63</v>
      </c>
      <c r="H257" s="16"/>
      <c r="I257" s="17">
        <v>6145.88</v>
      </c>
      <c r="J257" s="17"/>
      <c r="K257" s="17">
        <v>2627.63</v>
      </c>
      <c r="L257" s="43"/>
      <c r="M257" s="17">
        <v>6145.88</v>
      </c>
      <c r="N257" s="17"/>
      <c r="O257" s="17">
        <v>2627.63</v>
      </c>
      <c r="P257" s="19">
        <f>I257+K257-M257-O257</f>
        <v>0</v>
      </c>
    </row>
    <row r="258" ht="12" customHeight="1" spans="1:16">
      <c r="A258" s="14">
        <v>125</v>
      </c>
      <c r="B258" s="15" t="s">
        <v>140</v>
      </c>
      <c r="C258" s="18"/>
      <c r="D258" s="16">
        <v>232.23</v>
      </c>
      <c r="E258" s="17"/>
      <c r="F258" s="17">
        <v>102.79</v>
      </c>
      <c r="G258" s="17"/>
      <c r="H258" s="16">
        <v>232.23</v>
      </c>
      <c r="I258" s="17"/>
      <c r="J258" s="17">
        <v>102.79</v>
      </c>
      <c r="K258" s="17"/>
      <c r="L258" s="43">
        <v>232.23</v>
      </c>
      <c r="M258" s="17"/>
      <c r="N258" s="17">
        <v>102.79</v>
      </c>
      <c r="O258" s="17"/>
      <c r="P258" s="19"/>
    </row>
    <row r="259" ht="12" customHeight="1" spans="1:16">
      <c r="A259" s="14"/>
      <c r="B259" s="15"/>
      <c r="C259" s="18">
        <v>25</v>
      </c>
      <c r="D259" s="16"/>
      <c r="E259" s="17">
        <v>5656.88</v>
      </c>
      <c r="F259" s="17"/>
      <c r="G259" s="17">
        <v>2586.25</v>
      </c>
      <c r="H259" s="16"/>
      <c r="I259" s="17">
        <v>5656.88</v>
      </c>
      <c r="J259" s="17"/>
      <c r="K259" s="17">
        <v>2586.25</v>
      </c>
      <c r="L259" s="43"/>
      <c r="M259" s="17">
        <v>5656.88</v>
      </c>
      <c r="N259" s="17"/>
      <c r="O259" s="17">
        <v>2586.25</v>
      </c>
      <c r="P259" s="19">
        <f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220.32</v>
      </c>
      <c r="E260" s="17"/>
      <c r="F260" s="17">
        <v>104.11</v>
      </c>
      <c r="G260" s="17"/>
      <c r="H260" s="16">
        <v>220.32</v>
      </c>
      <c r="I260" s="17"/>
      <c r="J260" s="17">
        <v>104.11</v>
      </c>
      <c r="K260" s="17"/>
      <c r="L260" s="43">
        <v>220.32</v>
      </c>
      <c r="M260" s="17"/>
      <c r="N260" s="17">
        <v>104.11</v>
      </c>
      <c r="O260" s="17"/>
      <c r="P260" s="19"/>
    </row>
    <row r="261" ht="12" customHeight="1" spans="1:16">
      <c r="A261" s="14"/>
      <c r="B261" s="15"/>
      <c r="C261" s="18">
        <v>25</v>
      </c>
      <c r="D261" s="16"/>
      <c r="E261" s="17">
        <v>5490.38</v>
      </c>
      <c r="F261" s="17"/>
      <c r="G261" s="17">
        <v>2577.38</v>
      </c>
      <c r="H261" s="16"/>
      <c r="I261" s="17">
        <v>5490.38</v>
      </c>
      <c r="J261" s="17"/>
      <c r="K261" s="17">
        <v>2577.38</v>
      </c>
      <c r="L261" s="43"/>
      <c r="M261" s="17">
        <v>5490.38</v>
      </c>
      <c r="N261" s="17"/>
      <c r="O261" s="17">
        <v>2577.38</v>
      </c>
      <c r="P261" s="19">
        <f>I261+K261-M261-O261</f>
        <v>0</v>
      </c>
    </row>
    <row r="262" ht="12" customHeight="1" spans="1:16">
      <c r="A262" s="14">
        <v>127</v>
      </c>
      <c r="B262" s="15" t="s">
        <v>142</v>
      </c>
      <c r="C262" s="18"/>
      <c r="D262" s="16">
        <v>218.91</v>
      </c>
      <c r="E262" s="17"/>
      <c r="F262" s="17">
        <v>102.08</v>
      </c>
      <c r="G262" s="17"/>
      <c r="H262" s="16">
        <v>218.91</v>
      </c>
      <c r="I262" s="17"/>
      <c r="J262" s="17">
        <v>102.08</v>
      </c>
      <c r="K262" s="17"/>
      <c r="L262" s="43">
        <v>218.91</v>
      </c>
      <c r="M262" s="17"/>
      <c r="N262" s="17">
        <v>102.08</v>
      </c>
      <c r="O262" s="17"/>
      <c r="P262" s="19"/>
    </row>
    <row r="263" ht="12" customHeight="1" spans="1:16">
      <c r="A263" s="14"/>
      <c r="B263" s="15"/>
      <c r="C263" s="18">
        <v>25</v>
      </c>
      <c r="D263" s="16"/>
      <c r="E263" s="17">
        <v>5954.13</v>
      </c>
      <c r="F263" s="17"/>
      <c r="G263" s="17">
        <v>2638.38</v>
      </c>
      <c r="H263" s="16"/>
      <c r="I263" s="17">
        <v>5954.13</v>
      </c>
      <c r="J263" s="17"/>
      <c r="K263" s="17">
        <v>2638.38</v>
      </c>
      <c r="L263" s="43"/>
      <c r="M263" s="17">
        <v>5954.13</v>
      </c>
      <c r="N263" s="17"/>
      <c r="O263" s="17">
        <v>2638.38</v>
      </c>
      <c r="P263" s="19">
        <f>I263+K263-M263-O263</f>
        <v>0</v>
      </c>
    </row>
    <row r="264" ht="12" customHeight="1" spans="1:16">
      <c r="A264" s="14">
        <v>128</v>
      </c>
      <c r="B264" s="15" t="s">
        <v>143</v>
      </c>
      <c r="C264" s="18"/>
      <c r="D264" s="16">
        <v>257.42</v>
      </c>
      <c r="E264" s="17"/>
      <c r="F264" s="17">
        <v>108.99</v>
      </c>
      <c r="G264" s="17"/>
      <c r="H264" s="16">
        <v>257.42</v>
      </c>
      <c r="I264" s="17"/>
      <c r="J264" s="17">
        <v>108.99</v>
      </c>
      <c r="K264" s="17"/>
      <c r="L264" s="43">
        <v>257.42</v>
      </c>
      <c r="M264" s="17"/>
      <c r="N264" s="17">
        <v>108.99</v>
      </c>
      <c r="O264" s="17"/>
      <c r="P264" s="19"/>
    </row>
    <row r="265" ht="12" customHeight="1" spans="1:16">
      <c r="A265" s="14"/>
      <c r="B265" s="15"/>
      <c r="C265" s="18">
        <v>25</v>
      </c>
      <c r="D265" s="16"/>
      <c r="E265" s="17">
        <v>6354.88</v>
      </c>
      <c r="F265" s="17"/>
      <c r="G265" s="17">
        <v>2656.13</v>
      </c>
      <c r="H265" s="16"/>
      <c r="I265" s="17">
        <v>6354.88</v>
      </c>
      <c r="J265" s="17"/>
      <c r="K265" s="17">
        <v>2656.13</v>
      </c>
      <c r="L265" s="43"/>
      <c r="M265" s="17">
        <v>6354.88</v>
      </c>
      <c r="N265" s="17"/>
      <c r="O265" s="17">
        <v>2656.13</v>
      </c>
      <c r="P265" s="19">
        <f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250.97</v>
      </c>
      <c r="E266" s="17"/>
      <c r="F266" s="17">
        <v>103.5</v>
      </c>
      <c r="G266" s="17"/>
      <c r="H266" s="16">
        <v>250.97</v>
      </c>
      <c r="I266" s="17"/>
      <c r="J266" s="17">
        <v>103.5</v>
      </c>
      <c r="K266" s="17"/>
      <c r="L266" s="43">
        <v>250.97</v>
      </c>
      <c r="M266" s="17"/>
      <c r="N266" s="17">
        <v>103.5</v>
      </c>
      <c r="O266" s="17"/>
      <c r="P266" s="19"/>
    </row>
    <row r="267" ht="12" customHeight="1" spans="1:16">
      <c r="A267" s="14"/>
      <c r="B267" s="15"/>
      <c r="C267" s="18">
        <v>25</v>
      </c>
      <c r="D267" s="16"/>
      <c r="E267" s="17">
        <v>6937.63</v>
      </c>
      <c r="F267" s="17"/>
      <c r="G267" s="17">
        <v>2940.25</v>
      </c>
      <c r="H267" s="16"/>
      <c r="I267" s="17">
        <v>6937.63</v>
      </c>
      <c r="J267" s="17"/>
      <c r="K267" s="17">
        <v>2940.25</v>
      </c>
      <c r="L267" s="43"/>
      <c r="M267" s="17">
        <v>6937.63</v>
      </c>
      <c r="N267" s="17"/>
      <c r="O267" s="17">
        <v>2940.25</v>
      </c>
      <c r="P267" s="19">
        <f>I267+K267-M267-O267</f>
        <v>0</v>
      </c>
    </row>
    <row r="268" ht="12" customHeight="1" spans="1:16">
      <c r="A268" s="14">
        <v>130</v>
      </c>
      <c r="B268" s="15" t="s">
        <v>145</v>
      </c>
      <c r="C268" s="18"/>
      <c r="D268" s="16">
        <v>304.04</v>
      </c>
      <c r="E268" s="17"/>
      <c r="F268" s="17">
        <v>131.72</v>
      </c>
      <c r="G268" s="17"/>
      <c r="H268" s="16">
        <v>304.04</v>
      </c>
      <c r="I268" s="17"/>
      <c r="J268" s="17">
        <v>131.72</v>
      </c>
      <c r="K268" s="17"/>
      <c r="L268" s="43">
        <v>304.04</v>
      </c>
      <c r="M268" s="17"/>
      <c r="N268" s="17">
        <v>131.72</v>
      </c>
      <c r="O268" s="17"/>
      <c r="P268" s="19"/>
    </row>
    <row r="269" ht="12" customHeight="1" spans="1:16">
      <c r="A269" s="14"/>
      <c r="B269" s="15"/>
      <c r="C269" s="18">
        <v>25</v>
      </c>
      <c r="D269" s="16"/>
      <c r="E269" s="17">
        <v>9151.38</v>
      </c>
      <c r="F269" s="17"/>
      <c r="G269" s="17">
        <v>3523.38</v>
      </c>
      <c r="H269" s="16"/>
      <c r="I269" s="17">
        <v>9151.38</v>
      </c>
      <c r="J269" s="17"/>
      <c r="K269" s="17">
        <v>3523.38</v>
      </c>
      <c r="L269" s="43"/>
      <c r="M269" s="17">
        <v>9151.38</v>
      </c>
      <c r="N269" s="17"/>
      <c r="O269" s="17">
        <v>3523.38</v>
      </c>
      <c r="P269" s="19">
        <f>I269+K269-M269-O269</f>
        <v>0</v>
      </c>
    </row>
    <row r="270" ht="12" customHeight="1" spans="1:16">
      <c r="A270" s="14">
        <v>131</v>
      </c>
      <c r="B270" s="15" t="s">
        <v>146</v>
      </c>
      <c r="C270" s="18"/>
      <c r="D270" s="16">
        <v>428.07</v>
      </c>
      <c r="E270" s="17"/>
      <c r="F270" s="17">
        <v>150.15</v>
      </c>
      <c r="G270" s="17"/>
      <c r="H270" s="16">
        <v>428.07</v>
      </c>
      <c r="I270" s="17"/>
      <c r="J270" s="17">
        <v>150.15</v>
      </c>
      <c r="K270" s="17"/>
      <c r="L270" s="43">
        <v>428.07</v>
      </c>
      <c r="M270" s="17"/>
      <c r="N270" s="17">
        <v>150.15</v>
      </c>
      <c r="O270" s="17"/>
      <c r="P270" s="19"/>
    </row>
    <row r="271" ht="12" customHeight="1" spans="1:16">
      <c r="A271" s="14"/>
      <c r="B271" s="15"/>
      <c r="C271" s="18">
        <v>25</v>
      </c>
      <c r="D271" s="16"/>
      <c r="E271" s="17">
        <v>11529.5</v>
      </c>
      <c r="F271" s="17"/>
      <c r="G271" s="17">
        <v>3829</v>
      </c>
      <c r="H271" s="16"/>
      <c r="I271" s="17">
        <v>11529.5</v>
      </c>
      <c r="J271" s="17"/>
      <c r="K271" s="17">
        <v>3829</v>
      </c>
      <c r="L271" s="43"/>
      <c r="M271" s="17">
        <v>11529.5</v>
      </c>
      <c r="N271" s="17"/>
      <c r="O271" s="17">
        <v>3829</v>
      </c>
      <c r="P271" s="19">
        <f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494.29</v>
      </c>
      <c r="E272" s="17"/>
      <c r="F272" s="17">
        <v>156.17</v>
      </c>
      <c r="G272" s="17"/>
      <c r="H272" s="16">
        <v>494.29</v>
      </c>
      <c r="I272" s="17"/>
      <c r="J272" s="17">
        <v>156.17</v>
      </c>
      <c r="K272" s="17"/>
      <c r="L272" s="43">
        <v>494.29</v>
      </c>
      <c r="M272" s="17"/>
      <c r="N272" s="17">
        <v>156.17</v>
      </c>
      <c r="O272" s="17"/>
      <c r="P272" s="19"/>
    </row>
    <row r="273" ht="12" customHeight="1" spans="1:16">
      <c r="A273" s="14"/>
      <c r="B273" s="15"/>
      <c r="C273" s="18">
        <v>25</v>
      </c>
      <c r="D273" s="16"/>
      <c r="E273" s="17">
        <v>12529.75</v>
      </c>
      <c r="F273" s="17"/>
      <c r="G273" s="17">
        <v>3916.13</v>
      </c>
      <c r="H273" s="16"/>
      <c r="I273" s="17">
        <v>12529.75</v>
      </c>
      <c r="J273" s="17"/>
      <c r="K273" s="17">
        <v>3916.13</v>
      </c>
      <c r="L273" s="43"/>
      <c r="M273" s="17">
        <v>12529.75</v>
      </c>
      <c r="N273" s="17"/>
      <c r="O273" s="17">
        <v>3916.13</v>
      </c>
      <c r="P273" s="19">
        <f>I273+K273-M273-O273</f>
        <v>0</v>
      </c>
    </row>
    <row r="274" ht="12" customHeight="1" spans="1:16">
      <c r="A274" s="14">
        <v>133</v>
      </c>
      <c r="B274" s="15" t="s">
        <v>148</v>
      </c>
      <c r="C274" s="18"/>
      <c r="D274" s="16">
        <v>508.09</v>
      </c>
      <c r="E274" s="17"/>
      <c r="F274" s="17">
        <v>157.12</v>
      </c>
      <c r="G274" s="17"/>
      <c r="H274" s="16">
        <v>508.09</v>
      </c>
      <c r="I274" s="17"/>
      <c r="J274" s="17">
        <v>157.12</v>
      </c>
      <c r="K274" s="17"/>
      <c r="L274" s="43">
        <v>508.09</v>
      </c>
      <c r="M274" s="17"/>
      <c r="N274" s="17">
        <v>157.12</v>
      </c>
      <c r="O274" s="17"/>
      <c r="P274" s="19"/>
    </row>
    <row r="275" ht="12" customHeight="1" spans="1:16">
      <c r="A275" s="14"/>
      <c r="B275" s="15"/>
      <c r="C275" s="18">
        <v>25</v>
      </c>
      <c r="D275" s="16"/>
      <c r="E275" s="17">
        <v>13014.13</v>
      </c>
      <c r="F275" s="17"/>
      <c r="G275" s="17">
        <v>3952.38</v>
      </c>
      <c r="H275" s="16"/>
      <c r="I275" s="17">
        <v>13014.13</v>
      </c>
      <c r="J275" s="17"/>
      <c r="K275" s="17">
        <v>3952.38</v>
      </c>
      <c r="L275" s="43"/>
      <c r="M275" s="17">
        <v>13014.13</v>
      </c>
      <c r="N275" s="17"/>
      <c r="O275" s="17">
        <v>3952.38</v>
      </c>
      <c r="P275" s="19">
        <f>I275+K275-M275-O275</f>
        <v>0</v>
      </c>
    </row>
    <row r="276" ht="12" customHeight="1" spans="1:16">
      <c r="A276" s="14">
        <v>134</v>
      </c>
      <c r="B276" s="15" t="s">
        <v>149</v>
      </c>
      <c r="C276" s="18"/>
      <c r="D276" s="16">
        <v>533.04</v>
      </c>
      <c r="E276" s="17"/>
      <c r="F276" s="17">
        <v>159.07</v>
      </c>
      <c r="G276" s="17"/>
      <c r="H276" s="16">
        <v>533.04</v>
      </c>
      <c r="I276" s="17"/>
      <c r="J276" s="17">
        <v>159.07</v>
      </c>
      <c r="K276" s="17"/>
      <c r="L276" s="43">
        <v>533.04</v>
      </c>
      <c r="M276" s="17"/>
      <c r="N276" s="17">
        <v>159.07</v>
      </c>
      <c r="O276" s="17"/>
      <c r="P276" s="19"/>
    </row>
    <row r="277" ht="12" customHeight="1" spans="1:16">
      <c r="A277" s="14"/>
      <c r="B277" s="15"/>
      <c r="C277" s="18">
        <v>25</v>
      </c>
      <c r="D277" s="16"/>
      <c r="E277" s="17">
        <v>13531.5</v>
      </c>
      <c r="F277" s="17"/>
      <c r="G277" s="17">
        <v>3995.75</v>
      </c>
      <c r="H277" s="16"/>
      <c r="I277" s="17">
        <v>13531.5</v>
      </c>
      <c r="J277" s="17"/>
      <c r="K277" s="17">
        <v>3995.75</v>
      </c>
      <c r="L277" s="43"/>
      <c r="M277" s="17">
        <v>13531.5</v>
      </c>
      <c r="N277" s="17"/>
      <c r="O277" s="17">
        <v>3995.75</v>
      </c>
      <c r="P277" s="19">
        <f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549.48</v>
      </c>
      <c r="E278" s="17"/>
      <c r="F278" s="17">
        <v>160.59</v>
      </c>
      <c r="G278" s="17"/>
      <c r="H278" s="16">
        <v>549.48</v>
      </c>
      <c r="I278" s="17"/>
      <c r="J278" s="17">
        <v>160.59</v>
      </c>
      <c r="K278" s="17"/>
      <c r="L278" s="43">
        <v>549.48</v>
      </c>
      <c r="M278" s="17"/>
      <c r="N278" s="17">
        <v>160.59</v>
      </c>
      <c r="O278" s="17"/>
      <c r="P278" s="19"/>
    </row>
    <row r="279" ht="12" customHeight="1" spans="1:16">
      <c r="A279" s="14"/>
      <c r="B279" s="15"/>
      <c r="C279" s="18">
        <v>25</v>
      </c>
      <c r="D279" s="16"/>
      <c r="E279" s="17">
        <v>14190.25</v>
      </c>
      <c r="F279" s="17"/>
      <c r="G279" s="17">
        <v>4017.25</v>
      </c>
      <c r="H279" s="16"/>
      <c r="I279" s="17">
        <v>14190.25</v>
      </c>
      <c r="J279" s="17"/>
      <c r="K279" s="17">
        <v>4017.25</v>
      </c>
      <c r="L279" s="43"/>
      <c r="M279" s="17">
        <v>14190.25</v>
      </c>
      <c r="N279" s="17"/>
      <c r="O279" s="17">
        <v>4017.25</v>
      </c>
      <c r="P279" s="19">
        <f>I279+K279-M279-O279</f>
        <v>0</v>
      </c>
    </row>
    <row r="280" ht="12" customHeight="1" spans="1:16">
      <c r="A280" s="14">
        <v>136</v>
      </c>
      <c r="B280" s="15" t="s">
        <v>151</v>
      </c>
      <c r="C280" s="18"/>
      <c r="D280" s="16">
        <v>585.74</v>
      </c>
      <c r="E280" s="17"/>
      <c r="F280" s="17">
        <v>160.79</v>
      </c>
      <c r="G280" s="17"/>
      <c r="H280" s="16">
        <v>585.74</v>
      </c>
      <c r="I280" s="17"/>
      <c r="J280" s="17">
        <v>160.79</v>
      </c>
      <c r="K280" s="17"/>
      <c r="L280" s="43">
        <v>585.74</v>
      </c>
      <c r="M280" s="17"/>
      <c r="N280" s="17">
        <v>160.79</v>
      </c>
      <c r="O280" s="17"/>
      <c r="P280" s="19"/>
    </row>
    <row r="281" ht="12" customHeight="1" spans="1:16">
      <c r="A281" s="14"/>
      <c r="B281" s="15"/>
      <c r="C281" s="18">
        <v>25</v>
      </c>
      <c r="D281" s="16"/>
      <c r="E281" s="17">
        <v>14637.88</v>
      </c>
      <c r="F281" s="17"/>
      <c r="G281" s="17">
        <v>4021.63</v>
      </c>
      <c r="H281" s="16"/>
      <c r="I281" s="17">
        <v>14637.88</v>
      </c>
      <c r="J281" s="17"/>
      <c r="K281" s="17">
        <v>4021.63</v>
      </c>
      <c r="L281" s="43"/>
      <c r="M281" s="17">
        <v>14637.88</v>
      </c>
      <c r="N281" s="17"/>
      <c r="O281" s="17">
        <v>4021.63</v>
      </c>
      <c r="P281" s="19">
        <f>I281+K281-M281-O281</f>
        <v>0</v>
      </c>
    </row>
    <row r="282" ht="12" customHeight="1" spans="1:16">
      <c r="A282" s="14">
        <v>137</v>
      </c>
      <c r="B282" s="15" t="s">
        <v>152</v>
      </c>
      <c r="C282" s="18"/>
      <c r="D282" s="16">
        <v>585.29</v>
      </c>
      <c r="E282" s="17"/>
      <c r="F282" s="17">
        <v>160.94</v>
      </c>
      <c r="G282" s="17"/>
      <c r="H282" s="16">
        <v>585.29</v>
      </c>
      <c r="I282" s="17"/>
      <c r="J282" s="17">
        <v>160.94</v>
      </c>
      <c r="K282" s="17"/>
      <c r="L282" s="43">
        <v>585.29</v>
      </c>
      <c r="M282" s="17"/>
      <c r="N282" s="17">
        <v>160.94</v>
      </c>
      <c r="O282" s="17"/>
      <c r="P282" s="19"/>
    </row>
    <row r="283" ht="12" customHeight="1" spans="1:16">
      <c r="A283" s="14"/>
      <c r="B283" s="15"/>
      <c r="C283" s="18">
        <v>25</v>
      </c>
      <c r="D283" s="16"/>
      <c r="E283" s="17">
        <v>14555.25</v>
      </c>
      <c r="F283" s="17"/>
      <c r="G283" s="17">
        <v>4026</v>
      </c>
      <c r="H283" s="16"/>
      <c r="I283" s="17">
        <v>14555.25</v>
      </c>
      <c r="J283" s="17"/>
      <c r="K283" s="17">
        <v>4026</v>
      </c>
      <c r="L283" s="43"/>
      <c r="M283" s="17">
        <v>14555.25</v>
      </c>
      <c r="N283" s="17"/>
      <c r="O283" s="17">
        <v>4026</v>
      </c>
      <c r="P283" s="19">
        <f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579.13</v>
      </c>
      <c r="E284" s="17"/>
      <c r="F284" s="17">
        <v>161.14</v>
      </c>
      <c r="G284" s="17"/>
      <c r="H284" s="16">
        <v>579.13</v>
      </c>
      <c r="I284" s="17"/>
      <c r="J284" s="17">
        <v>161.14</v>
      </c>
      <c r="K284" s="17"/>
      <c r="L284" s="43">
        <v>579.13</v>
      </c>
      <c r="M284" s="17"/>
      <c r="N284" s="17">
        <v>161.14</v>
      </c>
      <c r="O284" s="17"/>
      <c r="P284" s="19"/>
    </row>
    <row r="285" ht="12" customHeight="1" spans="1:16">
      <c r="A285" s="14"/>
      <c r="B285" s="15"/>
      <c r="C285" s="18">
        <v>25</v>
      </c>
      <c r="D285" s="16"/>
      <c r="E285" s="17">
        <v>15610.75</v>
      </c>
      <c r="F285" s="17"/>
      <c r="G285" s="17">
        <v>4042.25</v>
      </c>
      <c r="H285" s="16"/>
      <c r="I285" s="17">
        <v>15610.75</v>
      </c>
      <c r="J285" s="17"/>
      <c r="K285" s="17">
        <v>4042.25</v>
      </c>
      <c r="L285" s="43"/>
      <c r="M285" s="17">
        <v>15610.75</v>
      </c>
      <c r="N285" s="17"/>
      <c r="O285" s="17">
        <v>4042.25</v>
      </c>
      <c r="P285" s="19">
        <f>I285+K285-M285-O285</f>
        <v>0</v>
      </c>
    </row>
    <row r="286" ht="12" customHeight="1" spans="1:16">
      <c r="A286" s="14">
        <v>139</v>
      </c>
      <c r="B286" s="15" t="s">
        <v>154</v>
      </c>
      <c r="C286" s="18"/>
      <c r="D286" s="16">
        <v>669.73</v>
      </c>
      <c r="E286" s="17"/>
      <c r="F286" s="17">
        <v>162.24</v>
      </c>
      <c r="G286" s="17"/>
      <c r="H286" s="16">
        <v>669.73</v>
      </c>
      <c r="I286" s="17"/>
      <c r="J286" s="17">
        <v>162.24</v>
      </c>
      <c r="K286" s="17"/>
      <c r="L286" s="43">
        <v>669.73</v>
      </c>
      <c r="M286" s="17"/>
      <c r="N286" s="17">
        <v>162.24</v>
      </c>
      <c r="O286" s="17"/>
      <c r="P286" s="19"/>
    </row>
    <row r="287" ht="12" customHeight="1" spans="1:16">
      <c r="A287" s="14"/>
      <c r="B287" s="15"/>
      <c r="C287" s="18">
        <v>25</v>
      </c>
      <c r="D287" s="16"/>
      <c r="E287" s="17">
        <v>16710.88</v>
      </c>
      <c r="F287" s="17"/>
      <c r="G287" s="17">
        <v>4055.38</v>
      </c>
      <c r="H287" s="16"/>
      <c r="I287" s="17">
        <v>16710.88</v>
      </c>
      <c r="J287" s="17"/>
      <c r="K287" s="17">
        <v>4055.38</v>
      </c>
      <c r="L287" s="43"/>
      <c r="M287" s="17">
        <v>16710.88</v>
      </c>
      <c r="N287" s="17"/>
      <c r="O287" s="17">
        <v>4055.38</v>
      </c>
      <c r="P287" s="19">
        <f>I287+K287-M287-O287</f>
        <v>0</v>
      </c>
    </row>
    <row r="288" ht="12" customHeight="1" spans="1:16">
      <c r="A288" s="14">
        <v>140</v>
      </c>
      <c r="B288" s="15" t="s">
        <v>155</v>
      </c>
      <c r="C288" s="18"/>
      <c r="D288" s="16">
        <v>667.14</v>
      </c>
      <c r="E288" s="17"/>
      <c r="F288" s="17">
        <v>162.19</v>
      </c>
      <c r="G288" s="17"/>
      <c r="H288" s="16">
        <v>667.14</v>
      </c>
      <c r="I288" s="17"/>
      <c r="J288" s="17">
        <v>162.19</v>
      </c>
      <c r="K288" s="17"/>
      <c r="L288" s="43">
        <v>667.14</v>
      </c>
      <c r="M288" s="17"/>
      <c r="N288" s="17">
        <v>162.19</v>
      </c>
      <c r="O288" s="17"/>
      <c r="P288" s="19"/>
    </row>
    <row r="289" ht="12" customHeight="1" spans="1:16">
      <c r="A289" s="14"/>
      <c r="B289" s="15"/>
      <c r="C289" s="18">
        <v>25</v>
      </c>
      <c r="D289" s="16"/>
      <c r="E289" s="17">
        <v>15531.63</v>
      </c>
      <c r="F289" s="17"/>
      <c r="G289" s="17">
        <v>4042.25</v>
      </c>
      <c r="H289" s="16"/>
      <c r="I289" s="17">
        <v>15531.63</v>
      </c>
      <c r="J289" s="17"/>
      <c r="K289" s="17">
        <v>4042.25</v>
      </c>
      <c r="L289" s="43"/>
      <c r="M289" s="17">
        <v>15531.63</v>
      </c>
      <c r="N289" s="17"/>
      <c r="O289" s="17">
        <v>4042.25</v>
      </c>
      <c r="P289" s="19">
        <f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575.39</v>
      </c>
      <c r="E290" s="17"/>
      <c r="F290" s="17">
        <v>161.19</v>
      </c>
      <c r="G290" s="17"/>
      <c r="H290" s="16">
        <v>575.39</v>
      </c>
      <c r="I290" s="17"/>
      <c r="J290" s="17">
        <v>161.19</v>
      </c>
      <c r="K290" s="17"/>
      <c r="L290" s="43">
        <v>575.39</v>
      </c>
      <c r="M290" s="17"/>
      <c r="N290" s="17">
        <v>161.19</v>
      </c>
      <c r="O290" s="17"/>
      <c r="P290" s="19"/>
    </row>
    <row r="291" ht="12" customHeight="1" spans="1:16">
      <c r="A291" s="14"/>
      <c r="B291" s="15"/>
      <c r="C291" s="18">
        <v>25</v>
      </c>
      <c r="D291" s="16"/>
      <c r="E291" s="17">
        <v>13924.88</v>
      </c>
      <c r="F291" s="17"/>
      <c r="G291" s="17">
        <v>4024.5</v>
      </c>
      <c r="H291" s="16"/>
      <c r="I291" s="17">
        <v>13924.88</v>
      </c>
      <c r="J291" s="17"/>
      <c r="K291" s="17">
        <v>4024.5</v>
      </c>
      <c r="L291" s="43"/>
      <c r="M291" s="17">
        <v>13924.88</v>
      </c>
      <c r="N291" s="17"/>
      <c r="O291" s="17">
        <v>4024.5</v>
      </c>
      <c r="P291" s="19">
        <f>I291+K291-M291-O291</f>
        <v>0</v>
      </c>
    </row>
    <row r="292" ht="12" customHeight="1" spans="1:16">
      <c r="A292" s="14">
        <v>142</v>
      </c>
      <c r="B292" s="15" t="s">
        <v>157</v>
      </c>
      <c r="C292" s="18"/>
      <c r="D292" s="16">
        <v>538.6</v>
      </c>
      <c r="E292" s="17"/>
      <c r="F292" s="17">
        <v>160.77</v>
      </c>
      <c r="G292" s="17"/>
      <c r="H292" s="16">
        <v>538.6</v>
      </c>
      <c r="I292" s="17"/>
      <c r="J292" s="17">
        <v>160.77</v>
      </c>
      <c r="K292" s="17"/>
      <c r="L292" s="43">
        <v>538.6</v>
      </c>
      <c r="M292" s="17"/>
      <c r="N292" s="17">
        <v>160.77</v>
      </c>
      <c r="O292" s="17"/>
      <c r="P292" s="19"/>
    </row>
    <row r="293" ht="12" customHeight="1" spans="1:16">
      <c r="A293" s="14"/>
      <c r="B293" s="15"/>
      <c r="C293" s="18">
        <v>25</v>
      </c>
      <c r="D293" s="16"/>
      <c r="E293" s="17">
        <v>13144.63</v>
      </c>
      <c r="F293" s="17"/>
      <c r="G293" s="17">
        <v>4016.63</v>
      </c>
      <c r="H293" s="16"/>
      <c r="I293" s="17">
        <v>13144.63</v>
      </c>
      <c r="J293" s="17"/>
      <c r="K293" s="17">
        <v>4016.63</v>
      </c>
      <c r="L293" s="43"/>
      <c r="M293" s="17">
        <v>13144.63</v>
      </c>
      <c r="N293" s="17"/>
      <c r="O293" s="17">
        <v>4016.63</v>
      </c>
      <c r="P293" s="19">
        <f>I293+K293-M293-O293</f>
        <v>0</v>
      </c>
    </row>
    <row r="294" ht="12" customHeight="1" spans="1:16">
      <c r="A294" s="14">
        <v>143</v>
      </c>
      <c r="B294" s="15" t="s">
        <v>158</v>
      </c>
      <c r="C294" s="18"/>
      <c r="D294" s="16">
        <v>512.97</v>
      </c>
      <c r="E294" s="17"/>
      <c r="F294" s="17">
        <v>160.56</v>
      </c>
      <c r="G294" s="17"/>
      <c r="H294" s="16">
        <v>512.97</v>
      </c>
      <c r="I294" s="17"/>
      <c r="J294" s="17">
        <v>160.56</v>
      </c>
      <c r="K294" s="17"/>
      <c r="L294" s="43">
        <v>512.97</v>
      </c>
      <c r="M294" s="17"/>
      <c r="N294" s="17">
        <v>160.56</v>
      </c>
      <c r="O294" s="17"/>
      <c r="P294" s="19"/>
    </row>
    <row r="295" ht="12" customHeight="1" spans="1:16">
      <c r="A295" s="14"/>
      <c r="B295" s="15"/>
      <c r="C295" s="18">
        <v>25</v>
      </c>
      <c r="D295" s="16"/>
      <c r="E295" s="17">
        <v>12535.75</v>
      </c>
      <c r="F295" s="17"/>
      <c r="G295" s="17">
        <v>4011.88</v>
      </c>
      <c r="H295" s="16"/>
      <c r="I295" s="17">
        <v>12535.75</v>
      </c>
      <c r="J295" s="17"/>
      <c r="K295" s="17">
        <v>4011.88</v>
      </c>
      <c r="L295" s="43"/>
      <c r="M295" s="17">
        <v>12535.75</v>
      </c>
      <c r="N295" s="17"/>
      <c r="O295" s="17">
        <v>4011.88</v>
      </c>
      <c r="P295" s="19">
        <f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489.89</v>
      </c>
      <c r="E296" s="17"/>
      <c r="F296" s="17">
        <v>160.39</v>
      </c>
      <c r="G296" s="17"/>
      <c r="H296" s="16">
        <v>489.89</v>
      </c>
      <c r="I296" s="17"/>
      <c r="J296" s="17">
        <v>160.39</v>
      </c>
      <c r="K296" s="17"/>
      <c r="L296" s="43">
        <v>489.89</v>
      </c>
      <c r="M296" s="17"/>
      <c r="N296" s="17">
        <v>160.39</v>
      </c>
      <c r="O296" s="17"/>
      <c r="P296" s="19"/>
    </row>
    <row r="297" ht="12" customHeight="1" spans="1:16">
      <c r="A297" s="14"/>
      <c r="B297" s="15"/>
      <c r="C297" s="18">
        <v>25</v>
      </c>
      <c r="D297" s="16"/>
      <c r="E297" s="17">
        <v>12618.75</v>
      </c>
      <c r="F297" s="17"/>
      <c r="G297" s="17">
        <v>4012.88</v>
      </c>
      <c r="H297" s="16"/>
      <c r="I297" s="17">
        <v>12618.75</v>
      </c>
      <c r="J297" s="17"/>
      <c r="K297" s="17">
        <v>4012.88</v>
      </c>
      <c r="L297" s="43"/>
      <c r="M297" s="17">
        <v>12618.75</v>
      </c>
      <c r="N297" s="17"/>
      <c r="O297" s="17">
        <v>4012.88</v>
      </c>
      <c r="P297" s="19">
        <f>I297+K297-M297-O297</f>
        <v>0</v>
      </c>
    </row>
    <row r="298" ht="12" customHeight="1" spans="1:16">
      <c r="A298" s="14">
        <v>145</v>
      </c>
      <c r="B298" s="15" t="s">
        <v>160</v>
      </c>
      <c r="C298" s="18"/>
      <c r="D298" s="16">
        <v>519.61</v>
      </c>
      <c r="E298" s="17"/>
      <c r="F298" s="17">
        <v>160.64</v>
      </c>
      <c r="G298" s="17"/>
      <c r="H298" s="16">
        <v>519.61</v>
      </c>
      <c r="I298" s="17"/>
      <c r="J298" s="17">
        <v>160.64</v>
      </c>
      <c r="K298" s="17"/>
      <c r="L298" s="43">
        <v>519.61</v>
      </c>
      <c r="M298" s="17"/>
      <c r="N298" s="17">
        <v>160.64</v>
      </c>
      <c r="O298" s="17"/>
      <c r="P298" s="19"/>
    </row>
    <row r="299" ht="12" customHeight="1" spans="1:16">
      <c r="A299" s="14"/>
      <c r="B299" s="15"/>
      <c r="C299" s="18">
        <v>25</v>
      </c>
      <c r="D299" s="16"/>
      <c r="E299" s="17">
        <v>13127.63</v>
      </c>
      <c r="F299" s="17"/>
      <c r="G299" s="17">
        <v>4015.38</v>
      </c>
      <c r="H299" s="16"/>
      <c r="I299" s="17">
        <v>13127.63</v>
      </c>
      <c r="J299" s="17"/>
      <c r="K299" s="17">
        <v>4015.38</v>
      </c>
      <c r="L299" s="43"/>
      <c r="M299" s="17">
        <v>13127.63</v>
      </c>
      <c r="N299" s="17"/>
      <c r="O299" s="17">
        <v>4015.38</v>
      </c>
      <c r="P299" s="19">
        <f>I299+K299-M299-O299</f>
        <v>0</v>
      </c>
    </row>
    <row r="300" ht="12" customHeight="1" spans="1:16">
      <c r="A300" s="14">
        <v>146</v>
      </c>
      <c r="B300" s="15" t="s">
        <v>161</v>
      </c>
      <c r="C300" s="18"/>
      <c r="D300" s="16">
        <v>530.6</v>
      </c>
      <c r="E300" s="17"/>
      <c r="F300" s="17">
        <v>160.59</v>
      </c>
      <c r="G300" s="17"/>
      <c r="H300" s="16">
        <v>530.6</v>
      </c>
      <c r="I300" s="17"/>
      <c r="J300" s="17">
        <v>160.59</v>
      </c>
      <c r="K300" s="17"/>
      <c r="L300" s="43">
        <v>530.6</v>
      </c>
      <c r="M300" s="17"/>
      <c r="N300" s="17">
        <v>160.59</v>
      </c>
      <c r="O300" s="17"/>
      <c r="P300" s="19"/>
    </row>
    <row r="301" ht="12" customHeight="1" spans="1:16">
      <c r="A301" s="14"/>
      <c r="B301" s="15"/>
      <c r="C301" s="18">
        <v>25</v>
      </c>
      <c r="D301" s="16"/>
      <c r="E301" s="17">
        <v>13723.75</v>
      </c>
      <c r="F301" s="17"/>
      <c r="G301" s="17">
        <v>4018.75</v>
      </c>
      <c r="H301" s="16"/>
      <c r="I301" s="17">
        <v>13723.75</v>
      </c>
      <c r="J301" s="17"/>
      <c r="K301" s="17">
        <v>4018.75</v>
      </c>
      <c r="L301" s="43"/>
      <c r="M301" s="17">
        <v>13723.75</v>
      </c>
      <c r="N301" s="17"/>
      <c r="O301" s="17">
        <v>4018.75</v>
      </c>
      <c r="P301" s="19">
        <f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567.3</v>
      </c>
      <c r="E302" s="17"/>
      <c r="F302" s="17">
        <v>160.91</v>
      </c>
      <c r="G302" s="17"/>
      <c r="H302" s="16">
        <v>567.3</v>
      </c>
      <c r="I302" s="17"/>
      <c r="J302" s="17">
        <v>160.91</v>
      </c>
      <c r="K302" s="17"/>
      <c r="L302" s="43">
        <v>567.3</v>
      </c>
      <c r="M302" s="17"/>
      <c r="N302" s="17">
        <v>160.91</v>
      </c>
      <c r="O302" s="17"/>
      <c r="P302" s="19"/>
    </row>
    <row r="303" ht="12" customHeight="1" spans="1:16">
      <c r="A303" s="14"/>
      <c r="B303" s="15"/>
      <c r="C303" s="18">
        <v>25</v>
      </c>
      <c r="D303" s="16"/>
      <c r="E303" s="17">
        <v>15269.13</v>
      </c>
      <c r="F303" s="17"/>
      <c r="G303" s="17">
        <v>4038.38</v>
      </c>
      <c r="H303" s="16"/>
      <c r="I303" s="17">
        <v>15269.13</v>
      </c>
      <c r="J303" s="17"/>
      <c r="K303" s="17">
        <v>4038.38</v>
      </c>
      <c r="L303" s="43"/>
      <c r="M303" s="17">
        <v>15269.13</v>
      </c>
      <c r="N303" s="17"/>
      <c r="O303" s="17">
        <v>4038.38</v>
      </c>
      <c r="P303" s="19">
        <f>I303+K303-M303-O303</f>
        <v>0</v>
      </c>
    </row>
    <row r="304" ht="12" customHeight="1" spans="1:16">
      <c r="A304" s="14">
        <v>148</v>
      </c>
      <c r="B304" s="15" t="s">
        <v>163</v>
      </c>
      <c r="C304" s="18"/>
      <c r="D304" s="16">
        <v>654.23</v>
      </c>
      <c r="E304" s="17"/>
      <c r="F304" s="17">
        <v>162.16</v>
      </c>
      <c r="G304" s="17"/>
      <c r="H304" s="16">
        <v>654.23</v>
      </c>
      <c r="I304" s="17"/>
      <c r="J304" s="17">
        <v>162.16</v>
      </c>
      <c r="K304" s="17"/>
      <c r="L304" s="43">
        <v>654.23</v>
      </c>
      <c r="M304" s="17"/>
      <c r="N304" s="17">
        <v>162.16</v>
      </c>
      <c r="O304" s="17"/>
      <c r="P304" s="19"/>
    </row>
    <row r="305" ht="12" customHeight="1" spans="1:16">
      <c r="A305" s="14"/>
      <c r="B305" s="15"/>
      <c r="C305" s="18">
        <v>25</v>
      </c>
      <c r="D305" s="16"/>
      <c r="E305" s="17">
        <v>16543</v>
      </c>
      <c r="F305" s="17"/>
      <c r="G305" s="17">
        <v>4042.13</v>
      </c>
      <c r="H305" s="16"/>
      <c r="I305" s="17">
        <v>16543</v>
      </c>
      <c r="J305" s="17"/>
      <c r="K305" s="17">
        <v>4042.13</v>
      </c>
      <c r="L305" s="43"/>
      <c r="M305" s="17">
        <v>16543</v>
      </c>
      <c r="N305" s="17"/>
      <c r="O305" s="17">
        <v>4042.13</v>
      </c>
      <c r="P305" s="19">
        <f>I305+K305-M305-O305</f>
        <v>0</v>
      </c>
    </row>
    <row r="306" ht="12" customHeight="1" spans="1:16">
      <c r="A306" s="14">
        <v>149</v>
      </c>
      <c r="B306" s="15" t="s">
        <v>164</v>
      </c>
      <c r="C306" s="18"/>
      <c r="D306" s="16">
        <v>669.21</v>
      </c>
      <c r="E306" s="17"/>
      <c r="F306" s="17">
        <v>161.21</v>
      </c>
      <c r="G306" s="17"/>
      <c r="H306" s="16">
        <v>669.21</v>
      </c>
      <c r="I306" s="17"/>
      <c r="J306" s="17">
        <v>161.21</v>
      </c>
      <c r="K306" s="17"/>
      <c r="L306" s="43">
        <v>669.21</v>
      </c>
      <c r="M306" s="17"/>
      <c r="N306" s="17">
        <v>161.21</v>
      </c>
      <c r="O306" s="17"/>
      <c r="P306" s="19"/>
    </row>
    <row r="307" ht="12" customHeight="1" spans="1:16">
      <c r="A307" s="14"/>
      <c r="B307" s="15"/>
      <c r="C307" s="18">
        <v>25</v>
      </c>
      <c r="D307" s="16"/>
      <c r="E307" s="17">
        <v>15028.88</v>
      </c>
      <c r="F307" s="17"/>
      <c r="G307" s="17">
        <v>3996.25</v>
      </c>
      <c r="H307" s="16"/>
      <c r="I307" s="17">
        <v>15028.88</v>
      </c>
      <c r="J307" s="17"/>
      <c r="K307" s="17">
        <v>3996.25</v>
      </c>
      <c r="L307" s="43"/>
      <c r="M307" s="17">
        <v>15028.88</v>
      </c>
      <c r="N307" s="17"/>
      <c r="O307" s="17">
        <v>3996.25</v>
      </c>
      <c r="P307" s="19">
        <f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533.1</v>
      </c>
      <c r="E308" s="17"/>
      <c r="F308" s="17">
        <v>158.49</v>
      </c>
      <c r="G308" s="17"/>
      <c r="H308" s="16">
        <v>533.1</v>
      </c>
      <c r="I308" s="17"/>
      <c r="J308" s="17">
        <v>158.49</v>
      </c>
      <c r="K308" s="17"/>
      <c r="L308" s="43">
        <v>533.1</v>
      </c>
      <c r="M308" s="17"/>
      <c r="N308" s="17">
        <v>158.49</v>
      </c>
      <c r="O308" s="17"/>
      <c r="P308" s="19"/>
    </row>
    <row r="309" ht="12" customHeight="1" spans="1:16">
      <c r="A309" s="14"/>
      <c r="B309" s="15"/>
      <c r="C309" s="18">
        <v>25</v>
      </c>
      <c r="D309" s="16"/>
      <c r="E309" s="17">
        <v>12817</v>
      </c>
      <c r="F309" s="17"/>
      <c r="G309" s="17">
        <v>3941.13</v>
      </c>
      <c r="H309" s="16"/>
      <c r="I309" s="17">
        <v>12817</v>
      </c>
      <c r="J309" s="17"/>
      <c r="K309" s="17">
        <v>3941.13</v>
      </c>
      <c r="L309" s="43"/>
      <c r="M309" s="17">
        <v>12817</v>
      </c>
      <c r="N309" s="17"/>
      <c r="O309" s="17">
        <v>3941.13</v>
      </c>
      <c r="P309" s="19">
        <f>I309+K309-M309-O309</f>
        <v>0</v>
      </c>
    </row>
    <row r="310" ht="12" customHeight="1" spans="1:16">
      <c r="A310" s="14">
        <v>151</v>
      </c>
      <c r="B310" s="15" t="s">
        <v>166</v>
      </c>
      <c r="C310" s="18"/>
      <c r="D310" s="16">
        <v>492.26</v>
      </c>
      <c r="E310" s="17"/>
      <c r="F310" s="17">
        <v>156.8</v>
      </c>
      <c r="G310" s="17"/>
      <c r="H310" s="16">
        <v>492.26</v>
      </c>
      <c r="I310" s="17"/>
      <c r="J310" s="17">
        <v>156.8</v>
      </c>
      <c r="K310" s="17"/>
      <c r="L310" s="43">
        <v>492.26</v>
      </c>
      <c r="M310" s="17"/>
      <c r="N310" s="17">
        <v>156.8</v>
      </c>
      <c r="O310" s="17"/>
      <c r="P310" s="19"/>
    </row>
    <row r="311" ht="12" customHeight="1" spans="1:16">
      <c r="A311" s="14"/>
      <c r="B311" s="15"/>
      <c r="C311" s="18">
        <v>25</v>
      </c>
      <c r="D311" s="16"/>
      <c r="E311" s="17">
        <v>11720</v>
      </c>
      <c r="F311" s="17"/>
      <c r="G311" s="17">
        <v>3898.63</v>
      </c>
      <c r="H311" s="16"/>
      <c r="I311" s="17">
        <v>11720</v>
      </c>
      <c r="J311" s="17"/>
      <c r="K311" s="17">
        <v>3898.63</v>
      </c>
      <c r="L311" s="43"/>
      <c r="M311" s="17">
        <v>11720</v>
      </c>
      <c r="N311" s="17"/>
      <c r="O311" s="17">
        <v>3898.63</v>
      </c>
      <c r="P311" s="19">
        <f>I311+K311-M311-O311</f>
        <v>0</v>
      </c>
    </row>
    <row r="312" ht="12" customHeight="1" spans="1:16">
      <c r="A312" s="14">
        <v>152</v>
      </c>
      <c r="B312" s="15" t="s">
        <v>167</v>
      </c>
      <c r="C312" s="18"/>
      <c r="D312" s="16">
        <v>445.34</v>
      </c>
      <c r="E312" s="17"/>
      <c r="F312" s="17">
        <v>155.09</v>
      </c>
      <c r="G312" s="17"/>
      <c r="H312" s="16">
        <v>445.34</v>
      </c>
      <c r="I312" s="17"/>
      <c r="J312" s="17">
        <v>155.09</v>
      </c>
      <c r="K312" s="17"/>
      <c r="L312" s="43">
        <v>445.34</v>
      </c>
      <c r="M312" s="17"/>
      <c r="N312" s="17">
        <v>155.09</v>
      </c>
      <c r="O312" s="17"/>
      <c r="P312" s="19"/>
    </row>
    <row r="313" ht="12" customHeight="1" spans="1:16">
      <c r="A313" s="14"/>
      <c r="B313" s="15"/>
      <c r="C313" s="18">
        <v>25</v>
      </c>
      <c r="D313" s="16"/>
      <c r="E313" s="17">
        <v>8955.63</v>
      </c>
      <c r="F313" s="17"/>
      <c r="G313" s="17">
        <v>3815.75</v>
      </c>
      <c r="H313" s="16"/>
      <c r="I313" s="17">
        <v>8955.63</v>
      </c>
      <c r="J313" s="17"/>
      <c r="K313" s="17">
        <v>3815.75</v>
      </c>
      <c r="L313" s="43"/>
      <c r="M313" s="17">
        <v>8955.63</v>
      </c>
      <c r="N313" s="17"/>
      <c r="O313" s="17">
        <v>3815.75</v>
      </c>
      <c r="P313" s="19">
        <f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271.11</v>
      </c>
      <c r="E314" s="17"/>
      <c r="F314" s="17">
        <v>150.17</v>
      </c>
      <c r="G314" s="17"/>
      <c r="H314" s="16">
        <v>271.11</v>
      </c>
      <c r="I314" s="17"/>
      <c r="J314" s="17">
        <v>150.17</v>
      </c>
      <c r="K314" s="17"/>
      <c r="L314" s="43">
        <v>271.11</v>
      </c>
      <c r="M314" s="17"/>
      <c r="N314" s="17">
        <v>150.17</v>
      </c>
      <c r="O314" s="17"/>
      <c r="P314" s="19"/>
    </row>
    <row r="315" ht="12" customHeight="1" spans="1:16">
      <c r="A315" s="14"/>
      <c r="B315" s="15"/>
      <c r="C315" s="18">
        <v>25</v>
      </c>
      <c r="D315" s="16"/>
      <c r="E315" s="17">
        <v>5147.88</v>
      </c>
      <c r="F315" s="17"/>
      <c r="G315" s="17">
        <v>3700.63</v>
      </c>
      <c r="H315" s="16"/>
      <c r="I315" s="17">
        <v>5147.88</v>
      </c>
      <c r="J315" s="17"/>
      <c r="K315" s="17">
        <v>3700.63</v>
      </c>
      <c r="L315" s="43"/>
      <c r="M315" s="17">
        <v>5147.88</v>
      </c>
      <c r="N315" s="17"/>
      <c r="O315" s="17">
        <v>3700.63</v>
      </c>
      <c r="P315" s="19">
        <f>I315+K315-M315-O315</f>
        <v>0</v>
      </c>
    </row>
    <row r="316" ht="12" customHeight="1" spans="1:16">
      <c r="A316" s="14">
        <v>154</v>
      </c>
      <c r="B316" s="15" t="s">
        <v>169</v>
      </c>
      <c r="C316" s="18"/>
      <c r="D316" s="16">
        <v>140.72</v>
      </c>
      <c r="E316" s="17"/>
      <c r="F316" s="17">
        <v>145.88</v>
      </c>
      <c r="G316" s="17"/>
      <c r="H316" s="16">
        <v>140.72</v>
      </c>
      <c r="I316" s="17"/>
      <c r="J316" s="17">
        <v>145.88</v>
      </c>
      <c r="K316" s="17"/>
      <c r="L316" s="43">
        <v>140.72</v>
      </c>
      <c r="M316" s="17"/>
      <c r="N316" s="17">
        <v>145.88</v>
      </c>
      <c r="O316" s="17"/>
      <c r="P316" s="19"/>
    </row>
    <row r="317" ht="12" customHeight="1" spans="1:16">
      <c r="A317" s="14"/>
      <c r="B317" s="15"/>
      <c r="C317" s="18">
        <v>25</v>
      </c>
      <c r="D317" s="16"/>
      <c r="E317" s="17">
        <v>2023.25</v>
      </c>
      <c r="F317" s="17"/>
      <c r="G317" s="17">
        <v>3392.63</v>
      </c>
      <c r="H317" s="16"/>
      <c r="I317" s="17">
        <v>2023.25</v>
      </c>
      <c r="J317" s="17"/>
      <c r="K317" s="17">
        <v>3392.63</v>
      </c>
      <c r="L317" s="43"/>
      <c r="M317" s="17">
        <v>2023.25</v>
      </c>
      <c r="N317" s="17"/>
      <c r="O317" s="17">
        <v>3392.63</v>
      </c>
      <c r="P317" s="19">
        <f>I317+K317-M317-O317</f>
        <v>0</v>
      </c>
    </row>
    <row r="318" ht="12" customHeight="1" spans="1:16">
      <c r="A318" s="14">
        <v>155</v>
      </c>
      <c r="B318" s="15" t="s">
        <v>170</v>
      </c>
      <c r="C318" s="18"/>
      <c r="D318" s="16">
        <v>21.14</v>
      </c>
      <c r="E318" s="17"/>
      <c r="F318" s="17">
        <v>125.53</v>
      </c>
      <c r="G318" s="17"/>
      <c r="H318" s="16">
        <v>21.14</v>
      </c>
      <c r="I318" s="17"/>
      <c r="J318" s="17">
        <v>125.53</v>
      </c>
      <c r="K318" s="17"/>
      <c r="L318" s="43">
        <v>21.14</v>
      </c>
      <c r="M318" s="17"/>
      <c r="N318" s="17">
        <v>125.53</v>
      </c>
      <c r="O318" s="17"/>
      <c r="P318" s="19"/>
    </row>
    <row r="319" ht="12" customHeight="1" spans="1:16">
      <c r="A319" s="14"/>
      <c r="B319" s="15"/>
      <c r="C319" s="18">
        <v>25</v>
      </c>
      <c r="D319" s="16"/>
      <c r="E319" s="17">
        <v>264.25</v>
      </c>
      <c r="F319" s="17"/>
      <c r="G319" s="17">
        <v>1569.13</v>
      </c>
      <c r="H319" s="16"/>
      <c r="I319" s="17">
        <v>264.25</v>
      </c>
      <c r="J319" s="17"/>
      <c r="K319" s="17">
        <v>1569.13</v>
      </c>
      <c r="L319" s="43"/>
      <c r="M319" s="17">
        <v>264.25</v>
      </c>
      <c r="N319" s="17"/>
      <c r="O319" s="17">
        <v>1569.13</v>
      </c>
      <c r="P319" s="19">
        <f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>
        <v>0</v>
      </c>
      <c r="I320" s="17"/>
      <c r="J320" s="17">
        <v>0</v>
      </c>
      <c r="K320" s="17"/>
      <c r="L320" s="43">
        <v>0</v>
      </c>
      <c r="M320" s="17"/>
      <c r="N320" s="17">
        <v>0</v>
      </c>
      <c r="O320" s="17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>
        <v>0</v>
      </c>
      <c r="J321" s="17"/>
      <c r="K321" s="17">
        <v>0</v>
      </c>
      <c r="L321" s="43"/>
      <c r="M321" s="17">
        <v>0</v>
      </c>
      <c r="N321" s="17"/>
      <c r="O321" s="17">
        <v>0</v>
      </c>
      <c r="P321" s="19">
        <f>I321+K321-M321-O321</f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>
        <v>0</v>
      </c>
      <c r="I322" s="17"/>
      <c r="J322" s="17">
        <v>0</v>
      </c>
      <c r="K322" s="17"/>
      <c r="L322" s="43">
        <v>0</v>
      </c>
      <c r="M322" s="17"/>
      <c r="N322" s="17">
        <v>0</v>
      </c>
      <c r="O322" s="17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>
        <v>0</v>
      </c>
      <c r="J323" s="17"/>
      <c r="K323" s="17">
        <v>0</v>
      </c>
      <c r="L323" s="43"/>
      <c r="M323" s="17">
        <v>0</v>
      </c>
      <c r="N323" s="17"/>
      <c r="O323" s="17">
        <v>0</v>
      </c>
      <c r="P323" s="19">
        <f>I323+K323-M323-O323</f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>
        <v>0</v>
      </c>
      <c r="I324" s="17"/>
      <c r="J324" s="17">
        <v>0</v>
      </c>
      <c r="K324" s="17"/>
      <c r="L324" s="43">
        <v>0</v>
      </c>
      <c r="M324" s="17"/>
      <c r="N324" s="17">
        <v>0</v>
      </c>
      <c r="O324" s="17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>
        <v>0</v>
      </c>
      <c r="J325" s="17"/>
      <c r="K325" s="17">
        <v>0</v>
      </c>
      <c r="L325" s="43"/>
      <c r="M325" s="17">
        <v>0</v>
      </c>
      <c r="N325" s="17"/>
      <c r="O325" s="17">
        <v>0</v>
      </c>
      <c r="P325" s="19">
        <f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>
        <v>0</v>
      </c>
      <c r="I326" s="17"/>
      <c r="J326" s="17">
        <v>0</v>
      </c>
      <c r="K326" s="17"/>
      <c r="L326" s="43">
        <v>0</v>
      </c>
      <c r="M326" s="17"/>
      <c r="N326" s="17">
        <v>0</v>
      </c>
      <c r="O326" s="17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>
        <v>0</v>
      </c>
      <c r="J327" s="17"/>
      <c r="K327" s="17">
        <v>0</v>
      </c>
      <c r="L327" s="43"/>
      <c r="M327" s="17">
        <v>0</v>
      </c>
      <c r="N327" s="17"/>
      <c r="O327" s="17">
        <v>0</v>
      </c>
      <c r="P327" s="19">
        <f>I327+K327-M327-O327</f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>
        <v>0</v>
      </c>
      <c r="I328" s="17"/>
      <c r="J328" s="17">
        <v>0</v>
      </c>
      <c r="K328" s="17"/>
      <c r="L328" s="43">
        <v>0</v>
      </c>
      <c r="M328" s="17"/>
      <c r="N328" s="17">
        <v>0</v>
      </c>
      <c r="O328" s="17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>
        <v>0</v>
      </c>
      <c r="J329" s="17"/>
      <c r="K329" s="17">
        <v>0</v>
      </c>
      <c r="L329" s="43"/>
      <c r="M329" s="17">
        <v>0</v>
      </c>
      <c r="N329" s="17"/>
      <c r="O329" s="17">
        <v>0</v>
      </c>
      <c r="P329" s="19">
        <f>I329+K329-M329-O329</f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>
        <v>0</v>
      </c>
      <c r="I330" s="17"/>
      <c r="J330" s="17">
        <v>0</v>
      </c>
      <c r="K330" s="17"/>
      <c r="L330" s="43">
        <v>0</v>
      </c>
      <c r="M330" s="17"/>
      <c r="N330" s="17">
        <v>0</v>
      </c>
      <c r="O330" s="17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>
        <v>0</v>
      </c>
      <c r="J331" s="17"/>
      <c r="K331" s="17">
        <v>0</v>
      </c>
      <c r="L331" s="43"/>
      <c r="M331" s="17">
        <v>0</v>
      </c>
      <c r="N331" s="17"/>
      <c r="O331" s="17">
        <v>0</v>
      </c>
      <c r="P331" s="19">
        <f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>
        <v>0</v>
      </c>
      <c r="I332" s="17"/>
      <c r="J332" s="17">
        <v>0</v>
      </c>
      <c r="K332" s="17"/>
      <c r="L332" s="43">
        <v>0</v>
      </c>
      <c r="M332" s="17"/>
      <c r="N332" s="17">
        <v>0</v>
      </c>
      <c r="O332" s="17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>
        <v>0</v>
      </c>
      <c r="J333" s="17"/>
      <c r="K333" s="17">
        <v>0</v>
      </c>
      <c r="L333" s="43"/>
      <c r="M333" s="17">
        <v>0</v>
      </c>
      <c r="N333" s="17"/>
      <c r="O333" s="17">
        <v>0</v>
      </c>
      <c r="P333" s="19">
        <f>I333+K333-M333-O333</f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>
        <v>0</v>
      </c>
      <c r="I334" s="17"/>
      <c r="J334" s="17">
        <v>0</v>
      </c>
      <c r="K334" s="17"/>
      <c r="L334" s="43">
        <v>0</v>
      </c>
      <c r="M334" s="17"/>
      <c r="N334" s="17">
        <v>0</v>
      </c>
      <c r="O334" s="17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>
        <v>0</v>
      </c>
      <c r="J335" s="17"/>
      <c r="K335" s="17">
        <v>0</v>
      </c>
      <c r="L335" s="43"/>
      <c r="M335" s="17">
        <v>0</v>
      </c>
      <c r="N335" s="17"/>
      <c r="O335" s="17">
        <v>0</v>
      </c>
      <c r="P335" s="19">
        <f>I335+K335-M335-O335</f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>
        <v>0</v>
      </c>
      <c r="I336" s="17"/>
      <c r="J336" s="17">
        <v>0</v>
      </c>
      <c r="K336" s="17"/>
      <c r="L336" s="43">
        <v>0</v>
      </c>
      <c r="M336" s="17"/>
      <c r="N336" s="17">
        <v>0</v>
      </c>
      <c r="O336" s="17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>
        <v>0</v>
      </c>
      <c r="J337" s="17"/>
      <c r="K337" s="17">
        <v>0</v>
      </c>
      <c r="L337" s="43"/>
      <c r="M337" s="17">
        <v>0</v>
      </c>
      <c r="N337" s="17"/>
      <c r="O337" s="17">
        <v>0</v>
      </c>
      <c r="P337" s="19">
        <f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>
        <v>0</v>
      </c>
      <c r="I338" s="17"/>
      <c r="J338" s="17">
        <v>0</v>
      </c>
      <c r="K338" s="17"/>
      <c r="L338" s="43">
        <v>0</v>
      </c>
      <c r="M338" s="17"/>
      <c r="N338" s="17">
        <v>0</v>
      </c>
      <c r="O338" s="17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>
        <v>0</v>
      </c>
      <c r="J339" s="17"/>
      <c r="K339" s="17">
        <v>0</v>
      </c>
      <c r="L339" s="43"/>
      <c r="M339" s="17">
        <v>0</v>
      </c>
      <c r="N339" s="17"/>
      <c r="O339" s="17">
        <v>0</v>
      </c>
      <c r="P339" s="19">
        <f>I339+K339-M339-O339</f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>
        <v>0</v>
      </c>
      <c r="I340" s="17"/>
      <c r="J340" s="17">
        <v>0</v>
      </c>
      <c r="K340" s="17"/>
      <c r="L340" s="43">
        <v>0</v>
      </c>
      <c r="M340" s="17"/>
      <c r="N340" s="17">
        <v>0</v>
      </c>
      <c r="O340" s="17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>
        <v>0</v>
      </c>
      <c r="J341" s="17"/>
      <c r="K341" s="17">
        <v>0</v>
      </c>
      <c r="L341" s="43"/>
      <c r="M341" s="17">
        <v>0</v>
      </c>
      <c r="N341" s="17"/>
      <c r="O341" s="17">
        <v>0</v>
      </c>
      <c r="P341" s="19">
        <f>I341+K341-M341-O341</f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>
        <v>0</v>
      </c>
      <c r="I342" s="17"/>
      <c r="J342" s="17">
        <v>0</v>
      </c>
      <c r="K342" s="17"/>
      <c r="L342" s="43">
        <v>0</v>
      </c>
      <c r="M342" s="17"/>
      <c r="N342" s="17">
        <v>0</v>
      </c>
      <c r="O342" s="17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>
        <v>0</v>
      </c>
      <c r="J343" s="17"/>
      <c r="K343" s="17">
        <v>0</v>
      </c>
      <c r="L343" s="43"/>
      <c r="M343" s="17">
        <v>0</v>
      </c>
      <c r="N343" s="17"/>
      <c r="O343" s="17">
        <v>0</v>
      </c>
      <c r="P343" s="19">
        <f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>
        <v>0</v>
      </c>
      <c r="I344" s="17"/>
      <c r="J344" s="17">
        <v>0</v>
      </c>
      <c r="K344" s="17"/>
      <c r="L344" s="43">
        <v>0</v>
      </c>
      <c r="M344" s="17"/>
      <c r="N344" s="17">
        <v>0</v>
      </c>
      <c r="O344" s="17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>
        <v>0</v>
      </c>
      <c r="J345" s="17"/>
      <c r="K345" s="17">
        <v>0</v>
      </c>
      <c r="L345" s="43"/>
      <c r="M345" s="17">
        <v>0</v>
      </c>
      <c r="N345" s="17"/>
      <c r="O345" s="17">
        <v>0</v>
      </c>
      <c r="P345" s="19">
        <f>I345+K345-M345-O345</f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>
        <v>0</v>
      </c>
      <c r="I346" s="17"/>
      <c r="J346" s="17">
        <v>0</v>
      </c>
      <c r="K346" s="17"/>
      <c r="L346" s="43">
        <v>0</v>
      </c>
      <c r="M346" s="17"/>
      <c r="N346" s="17">
        <v>0</v>
      </c>
      <c r="O346" s="17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>
        <v>0</v>
      </c>
      <c r="J347" s="17"/>
      <c r="K347" s="17">
        <v>0</v>
      </c>
      <c r="L347" s="43"/>
      <c r="M347" s="17">
        <v>0</v>
      </c>
      <c r="N347" s="17"/>
      <c r="O347" s="17">
        <v>0</v>
      </c>
      <c r="P347" s="19">
        <f>I347+K347-M347-O347</f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>
        <v>0</v>
      </c>
      <c r="I348" s="17"/>
      <c r="J348" s="17">
        <v>0</v>
      </c>
      <c r="K348" s="17"/>
      <c r="L348" s="43">
        <v>0</v>
      </c>
      <c r="M348" s="17"/>
      <c r="N348" s="17">
        <v>0</v>
      </c>
      <c r="O348" s="17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>
        <v>0</v>
      </c>
      <c r="J349" s="17"/>
      <c r="K349" s="17">
        <v>0</v>
      </c>
      <c r="L349" s="43"/>
      <c r="M349" s="17">
        <v>0</v>
      </c>
      <c r="N349" s="17"/>
      <c r="O349" s="17">
        <v>0</v>
      </c>
      <c r="P349" s="19">
        <f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>
        <v>0</v>
      </c>
      <c r="I350" s="17"/>
      <c r="J350" s="17">
        <v>0</v>
      </c>
      <c r="K350" s="17"/>
      <c r="L350" s="43">
        <v>0</v>
      </c>
      <c r="M350" s="17"/>
      <c r="N350" s="17">
        <v>0</v>
      </c>
      <c r="O350" s="17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>
        <v>0</v>
      </c>
      <c r="J351" s="17"/>
      <c r="K351" s="17">
        <v>0</v>
      </c>
      <c r="L351" s="43"/>
      <c r="M351" s="17">
        <v>0</v>
      </c>
      <c r="N351" s="17"/>
      <c r="O351" s="17">
        <v>0</v>
      </c>
      <c r="P351" s="19">
        <f>I351+K351-M351-O351</f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>
        <v>0</v>
      </c>
      <c r="I352" s="17"/>
      <c r="J352" s="17">
        <v>0</v>
      </c>
      <c r="K352" s="17"/>
      <c r="L352" s="43">
        <v>0</v>
      </c>
      <c r="M352" s="17"/>
      <c r="N352" s="17">
        <v>0</v>
      </c>
      <c r="O352" s="17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>
        <v>0</v>
      </c>
      <c r="J353" s="17"/>
      <c r="K353" s="17">
        <v>0</v>
      </c>
      <c r="L353" s="43"/>
      <c r="M353" s="17">
        <v>0</v>
      </c>
      <c r="N353" s="17"/>
      <c r="O353" s="17">
        <v>0</v>
      </c>
      <c r="P353" s="19">
        <f>I353+K353-M353-O353</f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>
        <v>0</v>
      </c>
      <c r="I354" s="17"/>
      <c r="J354" s="17">
        <v>0</v>
      </c>
      <c r="K354" s="17"/>
      <c r="L354" s="43">
        <v>0</v>
      </c>
      <c r="M354" s="17"/>
      <c r="N354" s="17">
        <v>0</v>
      </c>
      <c r="O354" s="17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>
        <v>0</v>
      </c>
      <c r="J355" s="17"/>
      <c r="K355" s="17">
        <v>0</v>
      </c>
      <c r="L355" s="43"/>
      <c r="M355" s="17">
        <v>0</v>
      </c>
      <c r="N355" s="17"/>
      <c r="O355" s="17">
        <v>0</v>
      </c>
      <c r="P355" s="19">
        <f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>
        <v>0</v>
      </c>
      <c r="I356" s="17"/>
      <c r="J356" s="17">
        <v>0</v>
      </c>
      <c r="K356" s="17"/>
      <c r="L356" s="43">
        <v>0</v>
      </c>
      <c r="M356" s="17"/>
      <c r="N356" s="17">
        <v>0</v>
      </c>
      <c r="O356" s="17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>
        <v>0</v>
      </c>
      <c r="J357" s="17"/>
      <c r="K357" s="17">
        <v>0</v>
      </c>
      <c r="L357" s="43"/>
      <c r="M357" s="17">
        <v>0</v>
      </c>
      <c r="N357" s="17"/>
      <c r="O357" s="17">
        <v>0</v>
      </c>
      <c r="P357" s="19">
        <f>I357+K357-M357-O357</f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>
        <v>0</v>
      </c>
      <c r="I358" s="17"/>
      <c r="J358" s="17">
        <v>0</v>
      </c>
      <c r="K358" s="17"/>
      <c r="L358" s="43">
        <v>0</v>
      </c>
      <c r="M358" s="17"/>
      <c r="N358" s="17">
        <v>0</v>
      </c>
      <c r="O358" s="17"/>
      <c r="P358" s="19"/>
    </row>
    <row r="359" ht="12" customHeight="1" spans="1:16">
      <c r="A359" s="14"/>
      <c r="B359" s="15"/>
      <c r="C359" s="18">
        <v>25</v>
      </c>
      <c r="D359" s="16"/>
      <c r="E359" s="17">
        <v>2060.88</v>
      </c>
      <c r="F359" s="17"/>
      <c r="G359" s="17">
        <v>341.88</v>
      </c>
      <c r="H359" s="16"/>
      <c r="I359" s="17">
        <v>2060.88</v>
      </c>
      <c r="J359" s="17"/>
      <c r="K359" s="17">
        <v>341.88</v>
      </c>
      <c r="L359" s="43"/>
      <c r="M359" s="17">
        <v>2060.88</v>
      </c>
      <c r="N359" s="17"/>
      <c r="O359" s="17">
        <v>341.88</v>
      </c>
      <c r="P359" s="19">
        <f>I359+K359-M359-O359</f>
        <v>0</v>
      </c>
    </row>
    <row r="360" ht="12" customHeight="1" spans="1:16">
      <c r="A360" s="14">
        <v>176</v>
      </c>
      <c r="B360" s="15" t="s">
        <v>191</v>
      </c>
      <c r="C360" s="18"/>
      <c r="D360" s="16">
        <v>164.87</v>
      </c>
      <c r="E360" s="17"/>
      <c r="F360" s="17">
        <v>27.35</v>
      </c>
      <c r="G360" s="17"/>
      <c r="H360" s="16">
        <v>164.87</v>
      </c>
      <c r="I360" s="17"/>
      <c r="J360" s="17">
        <v>27.35</v>
      </c>
      <c r="K360" s="17"/>
      <c r="L360" s="43">
        <v>164.87</v>
      </c>
      <c r="M360" s="17"/>
      <c r="N360" s="17">
        <v>27.35</v>
      </c>
      <c r="O360" s="17"/>
      <c r="P360" s="19"/>
    </row>
    <row r="361" ht="12" customHeight="1" spans="1:16">
      <c r="A361" s="14"/>
      <c r="B361" s="15"/>
      <c r="C361" s="18">
        <v>25</v>
      </c>
      <c r="D361" s="16"/>
      <c r="E361" s="17">
        <v>4682.88</v>
      </c>
      <c r="F361" s="17"/>
      <c r="G361" s="17">
        <v>679.88</v>
      </c>
      <c r="H361" s="16"/>
      <c r="I361" s="17">
        <v>4682.88</v>
      </c>
      <c r="J361" s="17"/>
      <c r="K361" s="17">
        <v>679.88</v>
      </c>
      <c r="L361" s="43"/>
      <c r="M361" s="17">
        <v>4682.88</v>
      </c>
      <c r="N361" s="17"/>
      <c r="O361" s="17">
        <v>679.88</v>
      </c>
      <c r="P361" s="19">
        <f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209.76</v>
      </c>
      <c r="E362" s="17"/>
      <c r="F362" s="17">
        <v>27.04</v>
      </c>
      <c r="G362" s="17"/>
      <c r="H362" s="16">
        <v>209.76</v>
      </c>
      <c r="I362" s="17"/>
      <c r="J362" s="17">
        <v>27.04</v>
      </c>
      <c r="K362" s="17"/>
      <c r="L362" s="43">
        <v>209.76</v>
      </c>
      <c r="M362" s="17"/>
      <c r="N362" s="17">
        <v>27.04</v>
      </c>
      <c r="O362" s="17"/>
      <c r="P362" s="19"/>
    </row>
    <row r="363" ht="12" customHeight="1" spans="1:16">
      <c r="A363" s="14"/>
      <c r="B363" s="15"/>
      <c r="C363" s="23">
        <v>25</v>
      </c>
      <c r="D363" s="16"/>
      <c r="E363" s="24">
        <v>2650.88</v>
      </c>
      <c r="F363" s="17"/>
      <c r="G363" s="24">
        <v>543</v>
      </c>
      <c r="H363" s="16"/>
      <c r="I363" s="24">
        <v>2650.88</v>
      </c>
      <c r="J363" s="17"/>
      <c r="K363" s="24">
        <v>543</v>
      </c>
      <c r="L363" s="43"/>
      <c r="M363" s="17">
        <v>2650.88</v>
      </c>
      <c r="N363" s="17"/>
      <c r="O363" s="17">
        <v>543</v>
      </c>
      <c r="P363" s="19">
        <f>I363+K363-M363-O363</f>
        <v>0</v>
      </c>
    </row>
    <row r="364" ht="12" customHeight="1" spans="1:16">
      <c r="A364" s="14">
        <v>178</v>
      </c>
      <c r="B364" s="15" t="s">
        <v>193</v>
      </c>
      <c r="C364" s="25"/>
      <c r="D364" s="16">
        <v>2.31</v>
      </c>
      <c r="E364" s="26"/>
      <c r="F364" s="17">
        <v>16.4</v>
      </c>
      <c r="G364" s="26"/>
      <c r="H364" s="16">
        <v>2.31</v>
      </c>
      <c r="I364" s="26"/>
      <c r="J364" s="17">
        <v>16.4</v>
      </c>
      <c r="K364" s="26"/>
      <c r="L364" s="43">
        <v>2.31</v>
      </c>
      <c r="M364" s="17"/>
      <c r="N364" s="17">
        <v>16.4</v>
      </c>
      <c r="O364" s="17"/>
      <c r="P364" s="19"/>
    </row>
    <row r="365" ht="12" customHeight="1" spans="1:16">
      <c r="A365" s="14"/>
      <c r="B365" s="15"/>
      <c r="C365" s="18">
        <v>25</v>
      </c>
      <c r="D365" s="16"/>
      <c r="E365" s="17">
        <v>527.63</v>
      </c>
      <c r="F365" s="17"/>
      <c r="G365" s="17">
        <v>768.13</v>
      </c>
      <c r="H365" s="16"/>
      <c r="I365" s="17">
        <v>527.63</v>
      </c>
      <c r="J365" s="17"/>
      <c r="K365" s="17">
        <v>768.13</v>
      </c>
      <c r="L365" s="43"/>
      <c r="M365" s="17">
        <v>527.63</v>
      </c>
      <c r="N365" s="17"/>
      <c r="O365" s="17">
        <v>768.13</v>
      </c>
      <c r="P365" s="19">
        <f>I365+K365-M365-O365</f>
        <v>0</v>
      </c>
    </row>
    <row r="366" ht="12" customHeight="1" spans="1:16">
      <c r="A366" s="14">
        <v>179</v>
      </c>
      <c r="B366" s="15" t="s">
        <v>194</v>
      </c>
      <c r="C366" s="18"/>
      <c r="D366" s="16">
        <v>39.9</v>
      </c>
      <c r="E366" s="17"/>
      <c r="F366" s="17">
        <v>45.05</v>
      </c>
      <c r="G366" s="17"/>
      <c r="H366" s="16">
        <v>39.9</v>
      </c>
      <c r="I366" s="17"/>
      <c r="J366" s="17">
        <v>45.05</v>
      </c>
      <c r="K366" s="17"/>
      <c r="L366" s="43">
        <v>39.9</v>
      </c>
      <c r="M366" s="17"/>
      <c r="N366" s="17">
        <v>45.05</v>
      </c>
      <c r="O366" s="17"/>
      <c r="P366" s="19"/>
    </row>
    <row r="367" ht="12" customHeight="1" spans="1:16">
      <c r="A367" s="14"/>
      <c r="B367" s="15"/>
      <c r="C367" s="18">
        <v>25</v>
      </c>
      <c r="D367" s="16"/>
      <c r="E367" s="17">
        <v>1381.75</v>
      </c>
      <c r="F367" s="17"/>
      <c r="G367" s="17">
        <v>1345.63</v>
      </c>
      <c r="H367" s="16"/>
      <c r="I367" s="17">
        <v>1381.75</v>
      </c>
      <c r="J367" s="17"/>
      <c r="K367" s="17">
        <v>1345.63</v>
      </c>
      <c r="L367" s="43"/>
      <c r="M367" s="17">
        <v>1381.75</v>
      </c>
      <c r="N367" s="17"/>
      <c r="O367" s="17">
        <v>1345.63</v>
      </c>
      <c r="P367" s="19">
        <f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70.64</v>
      </c>
      <c r="E368" s="17"/>
      <c r="F368" s="17">
        <v>62.6</v>
      </c>
      <c r="G368" s="17"/>
      <c r="H368" s="16">
        <v>70.64</v>
      </c>
      <c r="I368" s="17"/>
      <c r="J368" s="17">
        <v>62.6</v>
      </c>
      <c r="K368" s="17"/>
      <c r="L368" s="43">
        <v>70.64</v>
      </c>
      <c r="M368" s="17"/>
      <c r="N368" s="17">
        <v>62.6</v>
      </c>
      <c r="O368" s="17"/>
      <c r="P368" s="19"/>
    </row>
    <row r="369" ht="12" customHeight="1" spans="1:16">
      <c r="A369" s="14"/>
      <c r="B369" s="15"/>
      <c r="C369" s="23">
        <v>25</v>
      </c>
      <c r="D369" s="16"/>
      <c r="E369" s="17">
        <v>2115</v>
      </c>
      <c r="F369" s="17"/>
      <c r="G369" s="17">
        <v>2263.25</v>
      </c>
      <c r="H369" s="16"/>
      <c r="I369" s="17">
        <v>2115</v>
      </c>
      <c r="J369" s="17"/>
      <c r="K369" s="17">
        <v>2263.25</v>
      </c>
      <c r="L369" s="43"/>
      <c r="M369" s="17">
        <v>2115</v>
      </c>
      <c r="N369" s="17"/>
      <c r="O369" s="17">
        <v>2263.25</v>
      </c>
      <c r="P369" s="19">
        <f>I369+K369-M369-O369</f>
        <v>0</v>
      </c>
    </row>
    <row r="370" ht="12" customHeight="1" spans="1:16">
      <c r="A370" s="14">
        <v>181</v>
      </c>
      <c r="B370" s="15" t="s">
        <v>196</v>
      </c>
      <c r="C370" s="25"/>
      <c r="D370" s="16">
        <v>98.56</v>
      </c>
      <c r="E370" s="17"/>
      <c r="F370" s="17">
        <v>118.46</v>
      </c>
      <c r="G370" s="17"/>
      <c r="H370" s="16">
        <v>98.56</v>
      </c>
      <c r="I370" s="17"/>
      <c r="J370" s="17">
        <v>118.46</v>
      </c>
      <c r="K370" s="17"/>
      <c r="L370" s="43">
        <v>98.56</v>
      </c>
      <c r="M370" s="17"/>
      <c r="N370" s="17">
        <v>118.46</v>
      </c>
      <c r="O370" s="17"/>
      <c r="P370" s="19"/>
    </row>
    <row r="371" ht="12" customHeight="1" spans="1:16">
      <c r="A371" s="14"/>
      <c r="B371" s="15"/>
      <c r="C371" s="18">
        <v>25</v>
      </c>
      <c r="D371" s="16"/>
      <c r="E371" s="17">
        <v>2933.75</v>
      </c>
      <c r="F371" s="17"/>
      <c r="G371" s="17">
        <v>2914.63</v>
      </c>
      <c r="H371" s="16"/>
      <c r="I371" s="17">
        <v>2933.75</v>
      </c>
      <c r="J371" s="17"/>
      <c r="K371" s="17">
        <v>2914.63</v>
      </c>
      <c r="L371" s="43"/>
      <c r="M371" s="17">
        <v>2933.75</v>
      </c>
      <c r="N371" s="17"/>
      <c r="O371" s="17">
        <v>2914.63</v>
      </c>
      <c r="P371" s="19">
        <f>I371+K371-M371-O371</f>
        <v>0</v>
      </c>
    </row>
    <row r="372" ht="12" customHeight="1" spans="1:16">
      <c r="A372" s="14">
        <v>182</v>
      </c>
      <c r="B372" s="15" t="s">
        <v>197</v>
      </c>
      <c r="C372" s="18"/>
      <c r="D372" s="16">
        <v>136.14</v>
      </c>
      <c r="E372" s="17"/>
      <c r="F372" s="17">
        <v>114.71</v>
      </c>
      <c r="G372" s="17"/>
      <c r="H372" s="16">
        <v>136.14</v>
      </c>
      <c r="I372" s="17"/>
      <c r="J372" s="17">
        <v>114.71</v>
      </c>
      <c r="K372" s="17"/>
      <c r="L372" s="43">
        <v>136.14</v>
      </c>
      <c r="M372" s="17"/>
      <c r="N372" s="17">
        <v>114.71</v>
      </c>
      <c r="O372" s="17"/>
      <c r="P372" s="19"/>
    </row>
    <row r="373" ht="12" customHeight="1" spans="1:16">
      <c r="A373" s="14"/>
      <c r="B373" s="15"/>
      <c r="C373" s="18">
        <v>25</v>
      </c>
      <c r="D373" s="16"/>
      <c r="E373" s="17">
        <v>4539.13</v>
      </c>
      <c r="F373" s="17"/>
      <c r="G373" s="17">
        <v>3171.13</v>
      </c>
      <c r="H373" s="16"/>
      <c r="I373" s="17">
        <v>4539.13</v>
      </c>
      <c r="J373" s="17"/>
      <c r="K373" s="17">
        <v>3171.13</v>
      </c>
      <c r="L373" s="43"/>
      <c r="M373" s="17">
        <v>4539.13</v>
      </c>
      <c r="N373" s="17"/>
      <c r="O373" s="17">
        <v>3171.13</v>
      </c>
      <c r="P373" s="19">
        <f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226.99</v>
      </c>
      <c r="E374" s="17"/>
      <c r="F374" s="17">
        <v>138.98</v>
      </c>
      <c r="G374" s="17"/>
      <c r="H374" s="16">
        <v>226.99</v>
      </c>
      <c r="I374" s="17"/>
      <c r="J374" s="17">
        <v>138.98</v>
      </c>
      <c r="K374" s="17"/>
      <c r="L374" s="43">
        <v>226.99</v>
      </c>
      <c r="M374" s="17"/>
      <c r="N374" s="17">
        <v>138.98</v>
      </c>
      <c r="O374" s="17"/>
      <c r="P374" s="19"/>
    </row>
    <row r="375" ht="12" customHeight="1" spans="1:16">
      <c r="A375" s="14"/>
      <c r="B375" s="15"/>
      <c r="C375" s="23">
        <v>25</v>
      </c>
      <c r="D375" s="16"/>
      <c r="E375" s="17">
        <v>6493.88</v>
      </c>
      <c r="F375" s="17"/>
      <c r="G375" s="17">
        <v>3575.13</v>
      </c>
      <c r="H375" s="16"/>
      <c r="I375" s="17">
        <v>6493.88</v>
      </c>
      <c r="J375" s="17"/>
      <c r="K375" s="17">
        <v>3575.13</v>
      </c>
      <c r="L375" s="43"/>
      <c r="M375" s="17">
        <v>6493.88</v>
      </c>
      <c r="N375" s="17"/>
      <c r="O375" s="17">
        <v>3575.13</v>
      </c>
      <c r="P375" s="19">
        <f>I375+K375-M375-O375</f>
        <v>0</v>
      </c>
    </row>
    <row r="376" ht="12" customHeight="1" spans="1:16">
      <c r="A376" s="14">
        <v>184</v>
      </c>
      <c r="B376" s="15" t="s">
        <v>199</v>
      </c>
      <c r="C376" s="25"/>
      <c r="D376" s="16">
        <v>292.52</v>
      </c>
      <c r="E376" s="17"/>
      <c r="F376" s="17">
        <v>147.03</v>
      </c>
      <c r="G376" s="17"/>
      <c r="H376" s="16">
        <v>292.52</v>
      </c>
      <c r="I376" s="17"/>
      <c r="J376" s="17">
        <v>147.03</v>
      </c>
      <c r="K376" s="17"/>
      <c r="L376" s="43">
        <v>292.52</v>
      </c>
      <c r="M376" s="17"/>
      <c r="N376" s="17">
        <v>147.03</v>
      </c>
      <c r="O376" s="17"/>
      <c r="P376" s="19"/>
    </row>
    <row r="377" ht="12" customHeight="1" spans="1:16">
      <c r="A377" s="14"/>
      <c r="B377" s="15"/>
      <c r="C377" s="18">
        <v>25</v>
      </c>
      <c r="D377" s="16"/>
      <c r="E377" s="17">
        <v>8778.13</v>
      </c>
      <c r="F377" s="17"/>
      <c r="G377" s="17">
        <v>3792.13</v>
      </c>
      <c r="H377" s="16"/>
      <c r="I377" s="17">
        <v>8778.13</v>
      </c>
      <c r="J377" s="17"/>
      <c r="K377" s="17">
        <v>3792.13</v>
      </c>
      <c r="L377" s="43"/>
      <c r="M377" s="17">
        <v>8778.13</v>
      </c>
      <c r="N377" s="17"/>
      <c r="O377" s="17">
        <v>3792.13</v>
      </c>
      <c r="P377" s="19">
        <f>I377+K377-M377-O377</f>
        <v>0</v>
      </c>
    </row>
    <row r="378" ht="12" customHeight="1" spans="1:16">
      <c r="A378" s="14">
        <v>185</v>
      </c>
      <c r="B378" s="15" t="s">
        <v>200</v>
      </c>
      <c r="C378" s="18"/>
      <c r="D378" s="16">
        <v>409.73</v>
      </c>
      <c r="E378" s="17"/>
      <c r="F378" s="17">
        <v>156.34</v>
      </c>
      <c r="G378" s="17"/>
      <c r="H378" s="16">
        <v>409.73</v>
      </c>
      <c r="I378" s="17"/>
      <c r="J378" s="17">
        <v>156.34</v>
      </c>
      <c r="K378" s="17"/>
      <c r="L378" s="43">
        <v>409.73</v>
      </c>
      <c r="M378" s="17"/>
      <c r="N378" s="17">
        <v>156.34</v>
      </c>
      <c r="O378" s="17"/>
      <c r="P378" s="19"/>
    </row>
    <row r="379" ht="12" customHeight="1" spans="1:16">
      <c r="A379" s="14"/>
      <c r="B379" s="15"/>
      <c r="C379" s="18">
        <v>25</v>
      </c>
      <c r="D379" s="16"/>
      <c r="E379" s="17">
        <v>11379.63</v>
      </c>
      <c r="F379" s="17"/>
      <c r="G379" s="17">
        <v>3945.13</v>
      </c>
      <c r="H379" s="16"/>
      <c r="I379" s="17">
        <v>11379.63</v>
      </c>
      <c r="J379" s="17"/>
      <c r="K379" s="17">
        <v>3945.13</v>
      </c>
      <c r="L379" s="43"/>
      <c r="M379" s="17">
        <v>11379.63</v>
      </c>
      <c r="N379" s="17"/>
      <c r="O379" s="17">
        <v>3945.13</v>
      </c>
      <c r="P379" s="19">
        <f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500.64</v>
      </c>
      <c r="E380" s="17"/>
      <c r="F380" s="17">
        <v>159.27</v>
      </c>
      <c r="G380" s="17"/>
      <c r="H380" s="16">
        <v>500.64</v>
      </c>
      <c r="I380" s="17"/>
      <c r="J380" s="17">
        <v>159.27</v>
      </c>
      <c r="K380" s="17"/>
      <c r="L380" s="43">
        <v>500.64</v>
      </c>
      <c r="M380" s="17"/>
      <c r="N380" s="17">
        <v>159.27</v>
      </c>
      <c r="O380" s="17"/>
      <c r="P380" s="19"/>
    </row>
    <row r="381" ht="12" customHeight="1" spans="1:16">
      <c r="A381" s="14"/>
      <c r="B381" s="15"/>
      <c r="C381" s="23">
        <v>25</v>
      </c>
      <c r="D381" s="16"/>
      <c r="E381" s="17">
        <v>14298.38</v>
      </c>
      <c r="F381" s="17"/>
      <c r="G381" s="17">
        <v>4047.13</v>
      </c>
      <c r="H381" s="16"/>
      <c r="I381" s="17">
        <v>14298.38</v>
      </c>
      <c r="J381" s="17"/>
      <c r="K381" s="17">
        <v>4047.13</v>
      </c>
      <c r="L381" s="43"/>
      <c r="M381" s="17">
        <v>14298.38</v>
      </c>
      <c r="N381" s="17"/>
      <c r="O381" s="17">
        <v>4047.13</v>
      </c>
      <c r="P381" s="19">
        <f>I381+K381-M381-O381</f>
        <v>0</v>
      </c>
    </row>
    <row r="382" ht="12" customHeight="1" spans="1:16">
      <c r="A382" s="14">
        <v>187</v>
      </c>
      <c r="B382" s="15" t="s">
        <v>202</v>
      </c>
      <c r="C382" s="25"/>
      <c r="D382" s="16">
        <v>643.23</v>
      </c>
      <c r="E382" s="17"/>
      <c r="F382" s="17">
        <v>164.5</v>
      </c>
      <c r="G382" s="17"/>
      <c r="H382" s="16">
        <v>643.23</v>
      </c>
      <c r="I382" s="17"/>
      <c r="J382" s="17">
        <v>164.5</v>
      </c>
      <c r="K382" s="17"/>
      <c r="L382" s="43">
        <v>643.23</v>
      </c>
      <c r="M382" s="17"/>
      <c r="N382" s="17">
        <v>164.5</v>
      </c>
      <c r="O382" s="17"/>
      <c r="P382" s="19"/>
    </row>
    <row r="383" ht="12" customHeight="1" spans="1:16">
      <c r="A383" s="14"/>
      <c r="B383" s="15"/>
      <c r="C383" s="18">
        <v>25</v>
      </c>
      <c r="D383" s="16"/>
      <c r="E383" s="17">
        <v>17105</v>
      </c>
      <c r="F383" s="17"/>
      <c r="G383" s="17">
        <v>4167.38</v>
      </c>
      <c r="H383" s="16"/>
      <c r="I383" s="17">
        <v>17105</v>
      </c>
      <c r="J383" s="17"/>
      <c r="K383" s="17">
        <v>4167.38</v>
      </c>
      <c r="L383" s="43"/>
      <c r="M383" s="17">
        <v>17105</v>
      </c>
      <c r="N383" s="17"/>
      <c r="O383" s="17">
        <v>4167.38</v>
      </c>
      <c r="P383" s="19">
        <f>I383+K383-M383-O383</f>
        <v>0</v>
      </c>
    </row>
    <row r="384" ht="12" customHeight="1" spans="1:16">
      <c r="A384" s="14">
        <v>188</v>
      </c>
      <c r="B384" s="15" t="s">
        <v>203</v>
      </c>
      <c r="C384" s="18"/>
      <c r="D384" s="16">
        <v>725.17</v>
      </c>
      <c r="E384" s="17"/>
      <c r="F384" s="17">
        <v>168.89</v>
      </c>
      <c r="G384" s="17"/>
      <c r="H384" s="16">
        <v>725.17</v>
      </c>
      <c r="I384" s="17"/>
      <c r="J384" s="17">
        <v>168.89</v>
      </c>
      <c r="K384" s="17"/>
      <c r="L384" s="43">
        <v>725.17</v>
      </c>
      <c r="M384" s="17"/>
      <c r="N384" s="17">
        <v>168.89</v>
      </c>
      <c r="O384" s="17"/>
      <c r="P384" s="19"/>
    </row>
    <row r="385" ht="12" customHeight="1" spans="1:16">
      <c r="A385" s="14"/>
      <c r="B385" s="15"/>
      <c r="C385" s="18">
        <v>25</v>
      </c>
      <c r="D385" s="16"/>
      <c r="E385" s="17">
        <v>18537.5</v>
      </c>
      <c r="F385" s="17"/>
      <c r="G385" s="17">
        <v>4220.63</v>
      </c>
      <c r="H385" s="16"/>
      <c r="I385" s="17">
        <v>18537.5</v>
      </c>
      <c r="J385" s="17"/>
      <c r="K385" s="17">
        <v>4220.63</v>
      </c>
      <c r="L385" s="43"/>
      <c r="M385" s="17">
        <v>18537.5</v>
      </c>
      <c r="N385" s="17"/>
      <c r="O385" s="17">
        <v>4220.63</v>
      </c>
      <c r="P385" s="19">
        <f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757.83</v>
      </c>
      <c r="E386" s="17"/>
      <c r="F386" s="17">
        <v>168.76</v>
      </c>
      <c r="G386" s="17"/>
      <c r="H386" s="16">
        <v>757.83</v>
      </c>
      <c r="I386" s="17"/>
      <c r="J386" s="17">
        <v>168.76</v>
      </c>
      <c r="K386" s="17"/>
      <c r="L386" s="43">
        <v>757.83</v>
      </c>
      <c r="M386" s="17"/>
      <c r="N386" s="17">
        <v>168.76</v>
      </c>
      <c r="O386" s="17"/>
      <c r="P386" s="19"/>
    </row>
    <row r="387" ht="12" customHeight="1" spans="1:16">
      <c r="A387" s="14"/>
      <c r="B387" s="15"/>
      <c r="C387" s="23">
        <v>25</v>
      </c>
      <c r="D387" s="16"/>
      <c r="E387" s="17">
        <v>19221.75</v>
      </c>
      <c r="F387" s="17"/>
      <c r="G387" s="17">
        <v>4215.75</v>
      </c>
      <c r="H387" s="16"/>
      <c r="I387" s="17">
        <v>19221.75</v>
      </c>
      <c r="J387" s="17"/>
      <c r="K387" s="17">
        <v>4215.75</v>
      </c>
      <c r="L387" s="43"/>
      <c r="M387" s="17">
        <v>19221.75</v>
      </c>
      <c r="N387" s="17"/>
      <c r="O387" s="17">
        <v>4215.75</v>
      </c>
      <c r="P387" s="19">
        <f>I387+K387-M387-O387</f>
        <v>0</v>
      </c>
    </row>
    <row r="388" ht="12" customHeight="1" spans="1:16">
      <c r="A388" s="14">
        <v>190</v>
      </c>
      <c r="B388" s="15" t="s">
        <v>205</v>
      </c>
      <c r="C388" s="25"/>
      <c r="D388" s="16">
        <v>779.91</v>
      </c>
      <c r="E388" s="17"/>
      <c r="F388" s="17">
        <v>168.5</v>
      </c>
      <c r="G388" s="17"/>
      <c r="H388" s="16">
        <v>779.91</v>
      </c>
      <c r="I388" s="17"/>
      <c r="J388" s="17">
        <v>168.5</v>
      </c>
      <c r="K388" s="17"/>
      <c r="L388" s="43">
        <v>779.91</v>
      </c>
      <c r="M388" s="17"/>
      <c r="N388" s="17">
        <v>168.5</v>
      </c>
      <c r="O388" s="17"/>
      <c r="P388" s="19"/>
    </row>
    <row r="389" ht="12" customHeight="1" spans="1:16">
      <c r="A389" s="14"/>
      <c r="B389" s="15"/>
      <c r="C389" s="18">
        <v>25</v>
      </c>
      <c r="D389" s="16"/>
      <c r="E389" s="17">
        <v>16719.63</v>
      </c>
      <c r="F389" s="17"/>
      <c r="G389" s="17">
        <v>4211.63</v>
      </c>
      <c r="H389" s="16"/>
      <c r="I389" s="17">
        <v>16719.63</v>
      </c>
      <c r="J389" s="17"/>
      <c r="K389" s="17">
        <v>4211.63</v>
      </c>
      <c r="L389" s="43"/>
      <c r="M389" s="17">
        <v>16719.63</v>
      </c>
      <c r="N389" s="17"/>
      <c r="O389" s="17">
        <v>4211.63</v>
      </c>
      <c r="P389" s="19">
        <f>I389+K389-M389-O389</f>
        <v>0</v>
      </c>
    </row>
    <row r="390" ht="12" customHeight="1" spans="1:16">
      <c r="A390" s="14">
        <v>191</v>
      </c>
      <c r="B390" s="15" t="s">
        <v>206</v>
      </c>
      <c r="C390" s="18"/>
      <c r="D390" s="16">
        <v>557.66</v>
      </c>
      <c r="E390" s="17"/>
      <c r="F390" s="17">
        <v>168.43</v>
      </c>
      <c r="G390" s="17"/>
      <c r="H390" s="16">
        <v>557.66</v>
      </c>
      <c r="I390" s="17"/>
      <c r="J390" s="17">
        <v>168.43</v>
      </c>
      <c r="K390" s="17"/>
      <c r="L390" s="43">
        <v>557.66</v>
      </c>
      <c r="M390" s="17"/>
      <c r="N390" s="17">
        <v>168.43</v>
      </c>
      <c r="O390" s="17"/>
      <c r="P390" s="19"/>
    </row>
    <row r="391" ht="12" customHeight="1" spans="1:16">
      <c r="A391" s="14"/>
      <c r="B391" s="15"/>
      <c r="C391" s="18">
        <v>25</v>
      </c>
      <c r="D391" s="16"/>
      <c r="E391" s="17">
        <v>7394.5</v>
      </c>
      <c r="F391" s="17"/>
      <c r="G391" s="17">
        <v>3733.38</v>
      </c>
      <c r="H391" s="16"/>
      <c r="I391" s="17">
        <v>7394.5</v>
      </c>
      <c r="J391" s="17"/>
      <c r="K391" s="17">
        <v>3733.38</v>
      </c>
      <c r="L391" s="43"/>
      <c r="M391" s="17">
        <v>7394.5</v>
      </c>
      <c r="N391" s="17"/>
      <c r="O391" s="17">
        <v>3733.38</v>
      </c>
      <c r="P391" s="19">
        <f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33.9</v>
      </c>
      <c r="E392" s="17"/>
      <c r="F392" s="17">
        <v>130.24</v>
      </c>
      <c r="G392" s="17"/>
      <c r="H392" s="16">
        <v>33.9</v>
      </c>
      <c r="I392" s="17"/>
      <c r="J392" s="17">
        <v>130.24</v>
      </c>
      <c r="K392" s="17"/>
      <c r="L392" s="43">
        <v>33.9</v>
      </c>
      <c r="M392" s="17"/>
      <c r="N392" s="17">
        <v>130.24</v>
      </c>
      <c r="O392" s="17"/>
      <c r="P392" s="19"/>
    </row>
    <row r="393" ht="12" customHeight="1" spans="1:16">
      <c r="A393" s="14"/>
      <c r="B393" s="15"/>
      <c r="C393" s="23">
        <v>25</v>
      </c>
      <c r="D393" s="16"/>
      <c r="E393" s="17">
        <v>423.75</v>
      </c>
      <c r="F393" s="17"/>
      <c r="G393" s="17">
        <v>1628</v>
      </c>
      <c r="H393" s="16"/>
      <c r="I393" s="17">
        <v>423.75</v>
      </c>
      <c r="J393" s="17"/>
      <c r="K393" s="17">
        <v>1628</v>
      </c>
      <c r="L393" s="43"/>
      <c r="M393" s="17">
        <v>423.75</v>
      </c>
      <c r="N393" s="17"/>
      <c r="O393" s="17">
        <v>1628</v>
      </c>
      <c r="P393" s="19">
        <f>I393+K393-M393-O393</f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>
        <v>0</v>
      </c>
      <c r="I394" s="17"/>
      <c r="J394" s="17">
        <v>0</v>
      </c>
      <c r="K394" s="17"/>
      <c r="L394" s="43">
        <v>0</v>
      </c>
      <c r="M394" s="17"/>
      <c r="N394" s="17">
        <v>0</v>
      </c>
      <c r="O394" s="17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>
        <v>0</v>
      </c>
      <c r="J395" s="17"/>
      <c r="K395" s="17">
        <v>0</v>
      </c>
      <c r="L395" s="43"/>
      <c r="M395" s="17">
        <v>0</v>
      </c>
      <c r="N395" s="17"/>
      <c r="O395" s="17">
        <v>0</v>
      </c>
      <c r="P395" s="19">
        <f>I395+K395-M395-O395</f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>
        <v>0</v>
      </c>
      <c r="I396" s="17"/>
      <c r="J396" s="17">
        <v>0</v>
      </c>
      <c r="K396" s="17"/>
      <c r="L396" s="43">
        <v>0</v>
      </c>
      <c r="M396" s="17"/>
      <c r="N396" s="17">
        <v>0</v>
      </c>
      <c r="O396" s="17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>
        <v>0</v>
      </c>
      <c r="J397" s="17"/>
      <c r="K397" s="17">
        <v>0</v>
      </c>
      <c r="L397" s="43"/>
      <c r="M397" s="17">
        <v>0</v>
      </c>
      <c r="N397" s="17"/>
      <c r="O397" s="17">
        <v>0</v>
      </c>
      <c r="P397" s="19">
        <f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>
        <v>0</v>
      </c>
      <c r="I398" s="17"/>
      <c r="J398" s="17">
        <v>0</v>
      </c>
      <c r="K398" s="17"/>
      <c r="L398" s="43">
        <v>0</v>
      </c>
      <c r="M398" s="17"/>
      <c r="N398" s="17">
        <v>0</v>
      </c>
      <c r="O398" s="17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>
        <v>0</v>
      </c>
      <c r="J399" s="17"/>
      <c r="K399" s="17">
        <v>0</v>
      </c>
      <c r="L399" s="43"/>
      <c r="M399" s="17">
        <v>0</v>
      </c>
      <c r="N399" s="17"/>
      <c r="O399" s="17">
        <v>0</v>
      </c>
      <c r="P399" s="19">
        <f>I399+K399-M399-O399</f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>
        <v>0</v>
      </c>
      <c r="I400" s="17"/>
      <c r="J400" s="17">
        <v>0</v>
      </c>
      <c r="K400" s="17"/>
      <c r="L400" s="43">
        <v>0</v>
      </c>
      <c r="M400" s="17"/>
      <c r="N400" s="17">
        <v>0</v>
      </c>
      <c r="O400" s="17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>
        <v>0</v>
      </c>
      <c r="J401" s="17"/>
      <c r="K401" s="17">
        <v>0</v>
      </c>
      <c r="L401" s="43"/>
      <c r="M401" s="17">
        <v>0</v>
      </c>
      <c r="N401" s="17"/>
      <c r="O401" s="17">
        <v>0</v>
      </c>
      <c r="P401" s="19">
        <f>I401+K401-M401-O401</f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>
        <v>0</v>
      </c>
      <c r="I402" s="17"/>
      <c r="J402" s="17">
        <v>0</v>
      </c>
      <c r="K402" s="17"/>
      <c r="L402" s="43">
        <v>0</v>
      </c>
      <c r="M402" s="17"/>
      <c r="N402" s="17">
        <v>0</v>
      </c>
      <c r="O402" s="17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>
        <v>0</v>
      </c>
      <c r="J403" s="17"/>
      <c r="K403" s="17">
        <v>0</v>
      </c>
      <c r="L403" s="43"/>
      <c r="M403" s="17">
        <v>0</v>
      </c>
      <c r="N403" s="17"/>
      <c r="O403" s="17">
        <v>0</v>
      </c>
      <c r="P403" s="19">
        <f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>
        <v>0</v>
      </c>
      <c r="I404" s="17"/>
      <c r="J404" s="17">
        <v>0</v>
      </c>
      <c r="K404" s="17"/>
      <c r="L404" s="43">
        <v>0</v>
      </c>
      <c r="M404" s="17"/>
      <c r="N404" s="17">
        <v>0</v>
      </c>
      <c r="O404" s="17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>
        <v>0</v>
      </c>
      <c r="J405" s="17"/>
      <c r="K405" s="17">
        <v>0</v>
      </c>
      <c r="L405" s="43"/>
      <c r="M405" s="17">
        <v>0</v>
      </c>
      <c r="N405" s="17"/>
      <c r="O405" s="17">
        <v>0</v>
      </c>
      <c r="P405" s="19">
        <f>I405+K405-M405-O405</f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>
        <v>0</v>
      </c>
      <c r="I406" s="17"/>
      <c r="J406" s="17">
        <v>0</v>
      </c>
      <c r="K406" s="17"/>
      <c r="L406" s="43">
        <v>0</v>
      </c>
      <c r="M406" s="17"/>
      <c r="N406" s="17">
        <v>0</v>
      </c>
      <c r="O406" s="17"/>
      <c r="P406" s="19"/>
    </row>
    <row r="407" ht="12" customHeight="1" spans="1:16">
      <c r="A407" s="14"/>
      <c r="B407" s="15"/>
      <c r="C407" s="18">
        <v>25</v>
      </c>
      <c r="D407" s="16"/>
      <c r="E407" s="17">
        <v>289.5</v>
      </c>
      <c r="F407" s="17"/>
      <c r="G407" s="17">
        <v>1400.75</v>
      </c>
      <c r="H407" s="16"/>
      <c r="I407" s="17">
        <v>289.5</v>
      </c>
      <c r="J407" s="17"/>
      <c r="K407" s="17">
        <v>1400.75</v>
      </c>
      <c r="L407" s="43"/>
      <c r="M407" s="17">
        <v>289.5</v>
      </c>
      <c r="N407" s="17"/>
      <c r="O407" s="17">
        <v>1400.75</v>
      </c>
      <c r="P407" s="19">
        <f>I407+K407-M407-O407</f>
        <v>0</v>
      </c>
    </row>
    <row r="408" ht="12" customHeight="1" spans="1:16">
      <c r="A408" s="14">
        <v>200</v>
      </c>
      <c r="B408" s="15" t="s">
        <v>215</v>
      </c>
      <c r="C408" s="18"/>
      <c r="D408" s="16">
        <v>23.16</v>
      </c>
      <c r="E408" s="17"/>
      <c r="F408" s="17">
        <v>112.06</v>
      </c>
      <c r="G408" s="17"/>
      <c r="H408" s="16">
        <v>23.16</v>
      </c>
      <c r="I408" s="17"/>
      <c r="J408" s="17">
        <v>112.06</v>
      </c>
      <c r="K408" s="17"/>
      <c r="L408" s="43">
        <v>23.16</v>
      </c>
      <c r="M408" s="17"/>
      <c r="N408" s="17">
        <v>112.06</v>
      </c>
      <c r="O408" s="17"/>
      <c r="P408" s="19"/>
    </row>
    <row r="409" ht="12" customHeight="1" spans="1:16">
      <c r="A409" s="14"/>
      <c r="B409" s="15"/>
      <c r="C409" s="18">
        <v>25</v>
      </c>
      <c r="D409" s="16"/>
      <c r="E409" s="17">
        <v>3711.5</v>
      </c>
      <c r="F409" s="17"/>
      <c r="G409" s="17">
        <v>3188.13</v>
      </c>
      <c r="H409" s="16"/>
      <c r="I409" s="17">
        <v>3711.5</v>
      </c>
      <c r="J409" s="17"/>
      <c r="K409" s="17">
        <v>3188.13</v>
      </c>
      <c r="L409" s="43"/>
      <c r="M409" s="17">
        <v>3711.5</v>
      </c>
      <c r="N409" s="17"/>
      <c r="O409" s="17">
        <v>3188.13</v>
      </c>
      <c r="P409" s="19">
        <f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273.76</v>
      </c>
      <c r="E410" s="17"/>
      <c r="F410" s="17">
        <v>142.99</v>
      </c>
      <c r="G410" s="17"/>
      <c r="H410" s="16">
        <v>273.76</v>
      </c>
      <c r="I410" s="17"/>
      <c r="J410" s="17">
        <v>142.99</v>
      </c>
      <c r="K410" s="17"/>
      <c r="L410" s="43">
        <v>273.76</v>
      </c>
      <c r="M410" s="17"/>
      <c r="N410" s="17">
        <v>142.99</v>
      </c>
      <c r="O410" s="17"/>
      <c r="P410" s="19"/>
    </row>
    <row r="411" ht="12" customHeight="1" spans="1:16">
      <c r="A411" s="14"/>
      <c r="B411" s="15"/>
      <c r="C411" s="23">
        <v>25</v>
      </c>
      <c r="D411" s="16"/>
      <c r="E411" s="17">
        <v>10548</v>
      </c>
      <c r="F411" s="17"/>
      <c r="G411" s="17">
        <v>3381.13</v>
      </c>
      <c r="H411" s="16"/>
      <c r="I411" s="17">
        <v>10548</v>
      </c>
      <c r="J411" s="17"/>
      <c r="K411" s="17">
        <v>3381.13</v>
      </c>
      <c r="L411" s="43"/>
      <c r="M411" s="17">
        <v>10548</v>
      </c>
      <c r="N411" s="17"/>
      <c r="O411" s="17">
        <v>3381.13</v>
      </c>
      <c r="P411" s="19">
        <f>I411+K411-M411-O411</f>
        <v>0</v>
      </c>
    </row>
    <row r="412" ht="12" customHeight="1" spans="1:16">
      <c r="A412" s="14">
        <v>202</v>
      </c>
      <c r="B412" s="15" t="s">
        <v>217</v>
      </c>
      <c r="C412" s="25"/>
      <c r="D412" s="16">
        <v>570.08</v>
      </c>
      <c r="E412" s="17"/>
      <c r="F412" s="17">
        <v>127.5</v>
      </c>
      <c r="G412" s="17"/>
      <c r="H412" s="16">
        <v>570.08</v>
      </c>
      <c r="I412" s="17"/>
      <c r="J412" s="17">
        <v>127.5</v>
      </c>
      <c r="K412" s="17"/>
      <c r="L412" s="43">
        <v>570.08</v>
      </c>
      <c r="M412" s="17"/>
      <c r="N412" s="17">
        <v>127.5</v>
      </c>
      <c r="O412" s="17"/>
      <c r="P412" s="19"/>
    </row>
    <row r="413" ht="12" customHeight="1" spans="1:16">
      <c r="A413" s="14"/>
      <c r="B413" s="15"/>
      <c r="C413" s="18">
        <v>25</v>
      </c>
      <c r="D413" s="16"/>
      <c r="E413" s="17">
        <v>12264.13</v>
      </c>
      <c r="F413" s="17"/>
      <c r="G413" s="17">
        <v>3097.38</v>
      </c>
      <c r="H413" s="16"/>
      <c r="I413" s="17">
        <v>12264.13</v>
      </c>
      <c r="J413" s="17"/>
      <c r="K413" s="17">
        <v>3097.38</v>
      </c>
      <c r="L413" s="43"/>
      <c r="M413" s="17">
        <v>12264.13</v>
      </c>
      <c r="N413" s="17"/>
      <c r="O413" s="17">
        <v>3097.38</v>
      </c>
      <c r="P413" s="19">
        <f>I413+K413-M413-O413</f>
        <v>0</v>
      </c>
    </row>
    <row r="414" ht="12" customHeight="1" spans="1:16">
      <c r="A414" s="14">
        <v>203</v>
      </c>
      <c r="B414" s="15" t="s">
        <v>218</v>
      </c>
      <c r="C414" s="18"/>
      <c r="D414" s="16">
        <v>411.05</v>
      </c>
      <c r="E414" s="17"/>
      <c r="F414" s="17">
        <v>120.29</v>
      </c>
      <c r="G414" s="17"/>
      <c r="H414" s="16">
        <v>411.05</v>
      </c>
      <c r="I414" s="17"/>
      <c r="J414" s="17">
        <v>120.29</v>
      </c>
      <c r="K414" s="17"/>
      <c r="L414" s="43">
        <v>411.05</v>
      </c>
      <c r="M414" s="17"/>
      <c r="N414" s="17">
        <v>120.29</v>
      </c>
      <c r="O414" s="17"/>
      <c r="P414" s="19"/>
    </row>
    <row r="415" ht="12" customHeight="1" spans="1:16">
      <c r="A415" s="14"/>
      <c r="B415" s="15"/>
      <c r="C415" s="18">
        <v>25</v>
      </c>
      <c r="D415" s="16"/>
      <c r="E415" s="17">
        <v>9441.5</v>
      </c>
      <c r="F415" s="17"/>
      <c r="G415" s="17">
        <v>3005.13</v>
      </c>
      <c r="H415" s="16"/>
      <c r="I415" s="17">
        <v>9441.5</v>
      </c>
      <c r="J415" s="17"/>
      <c r="K415" s="17">
        <v>3005.13</v>
      </c>
      <c r="L415" s="43"/>
      <c r="M415" s="17">
        <v>9441.5</v>
      </c>
      <c r="N415" s="17"/>
      <c r="O415" s="17">
        <v>3005.13</v>
      </c>
      <c r="P415" s="19">
        <f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344.27</v>
      </c>
      <c r="E416" s="17"/>
      <c r="F416" s="17">
        <v>120.12</v>
      </c>
      <c r="G416" s="17"/>
      <c r="H416" s="16">
        <v>344.27</v>
      </c>
      <c r="I416" s="17"/>
      <c r="J416" s="17">
        <v>120.12</v>
      </c>
      <c r="K416" s="17"/>
      <c r="L416" s="43">
        <v>344.27</v>
      </c>
      <c r="M416" s="17"/>
      <c r="N416" s="17">
        <v>120.12</v>
      </c>
      <c r="O416" s="17"/>
      <c r="P416" s="19"/>
    </row>
    <row r="417" ht="12" customHeight="1" spans="1:16">
      <c r="A417" s="14"/>
      <c r="B417" s="15"/>
      <c r="C417" s="23">
        <v>25</v>
      </c>
      <c r="D417" s="16"/>
      <c r="E417" s="17">
        <v>8245.63</v>
      </c>
      <c r="F417" s="17"/>
      <c r="G417" s="17">
        <v>3069.38</v>
      </c>
      <c r="H417" s="16"/>
      <c r="I417" s="17">
        <v>8245.63</v>
      </c>
      <c r="J417" s="17"/>
      <c r="K417" s="17">
        <v>3069.38</v>
      </c>
      <c r="L417" s="43"/>
      <c r="M417" s="17">
        <v>8245.63</v>
      </c>
      <c r="N417" s="17"/>
      <c r="O417" s="17">
        <v>3069.38</v>
      </c>
      <c r="P417" s="19">
        <f>I417+K417-M417-O417</f>
        <v>0</v>
      </c>
    </row>
    <row r="418" ht="12" customHeight="1" spans="1:16">
      <c r="A418" s="14">
        <v>205</v>
      </c>
      <c r="B418" s="15" t="s">
        <v>220</v>
      </c>
      <c r="C418" s="25"/>
      <c r="D418" s="16">
        <v>315.38</v>
      </c>
      <c r="E418" s="17"/>
      <c r="F418" s="17">
        <v>125.43</v>
      </c>
      <c r="G418" s="17"/>
      <c r="H418" s="16">
        <v>315.38</v>
      </c>
      <c r="I418" s="17"/>
      <c r="J418" s="17">
        <v>125.43</v>
      </c>
      <c r="K418" s="17"/>
      <c r="L418" s="43">
        <v>315.38</v>
      </c>
      <c r="M418" s="17"/>
      <c r="N418" s="17">
        <v>125.43</v>
      </c>
      <c r="O418" s="17"/>
      <c r="P418" s="19"/>
    </row>
    <row r="419" ht="12" customHeight="1" spans="1:16">
      <c r="A419" s="14"/>
      <c r="B419" s="15"/>
      <c r="C419" s="18">
        <v>25</v>
      </c>
      <c r="D419" s="16"/>
      <c r="E419" s="17">
        <v>6976.88</v>
      </c>
      <c r="F419" s="17"/>
      <c r="G419" s="17">
        <v>3117</v>
      </c>
      <c r="H419" s="16"/>
      <c r="I419" s="17">
        <v>6976.88</v>
      </c>
      <c r="J419" s="17"/>
      <c r="K419" s="17">
        <v>3117</v>
      </c>
      <c r="L419" s="43"/>
      <c r="M419" s="17">
        <v>6976.88</v>
      </c>
      <c r="N419" s="17"/>
      <c r="O419" s="17">
        <v>3117</v>
      </c>
      <c r="P419" s="19">
        <f>I419+K419-M419-O419</f>
        <v>0</v>
      </c>
    </row>
    <row r="420" ht="12" customHeight="1" spans="1:16">
      <c r="A420" s="14">
        <v>206</v>
      </c>
      <c r="B420" s="15" t="s">
        <v>221</v>
      </c>
      <c r="C420" s="18"/>
      <c r="D420" s="16">
        <v>242.77</v>
      </c>
      <c r="E420" s="17"/>
      <c r="F420" s="17">
        <v>123.93</v>
      </c>
      <c r="G420" s="17"/>
      <c r="H420" s="16">
        <v>242.77</v>
      </c>
      <c r="I420" s="17"/>
      <c r="J420" s="17">
        <v>123.93</v>
      </c>
      <c r="K420" s="17"/>
      <c r="L420" s="43">
        <v>242.77</v>
      </c>
      <c r="M420" s="17"/>
      <c r="N420" s="17">
        <v>123.93</v>
      </c>
      <c r="O420" s="17"/>
      <c r="P420" s="19"/>
    </row>
    <row r="421" ht="12" customHeight="1" spans="1:16">
      <c r="A421" s="14"/>
      <c r="B421" s="15"/>
      <c r="C421" s="18">
        <v>25</v>
      </c>
      <c r="D421" s="16"/>
      <c r="E421" s="17">
        <v>6109</v>
      </c>
      <c r="F421" s="17"/>
      <c r="G421" s="17">
        <v>3214.5</v>
      </c>
      <c r="H421" s="16"/>
      <c r="I421" s="17">
        <v>6109</v>
      </c>
      <c r="J421" s="17"/>
      <c r="K421" s="17">
        <v>3214.5</v>
      </c>
      <c r="L421" s="43"/>
      <c r="M421" s="17">
        <v>6109</v>
      </c>
      <c r="N421" s="17"/>
      <c r="O421" s="17">
        <v>3214.5</v>
      </c>
      <c r="P421" s="19">
        <f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245.95</v>
      </c>
      <c r="E422" s="17"/>
      <c r="F422" s="17">
        <v>133.23</v>
      </c>
      <c r="G422" s="17"/>
      <c r="H422" s="16">
        <v>245.95</v>
      </c>
      <c r="I422" s="17"/>
      <c r="J422" s="17">
        <v>133.23</v>
      </c>
      <c r="K422" s="17"/>
      <c r="L422" s="43">
        <v>245.95</v>
      </c>
      <c r="M422" s="17"/>
      <c r="N422" s="17">
        <v>133.23</v>
      </c>
      <c r="O422" s="17"/>
      <c r="P422" s="19"/>
    </row>
    <row r="423" ht="12" customHeight="1" spans="1:16">
      <c r="A423" s="14"/>
      <c r="B423" s="15"/>
      <c r="C423" s="23">
        <v>25</v>
      </c>
      <c r="D423" s="16"/>
      <c r="E423" s="17">
        <v>5277.13</v>
      </c>
      <c r="F423" s="17"/>
      <c r="G423" s="17">
        <v>3277</v>
      </c>
      <c r="H423" s="16"/>
      <c r="I423" s="17">
        <v>5277.13</v>
      </c>
      <c r="J423" s="17"/>
      <c r="K423" s="17">
        <v>3277</v>
      </c>
      <c r="L423" s="43"/>
      <c r="M423" s="17">
        <v>5277.13</v>
      </c>
      <c r="N423" s="17"/>
      <c r="O423" s="17">
        <v>3277</v>
      </c>
      <c r="P423" s="19">
        <f>I423+K423-M423-O423</f>
        <v>0</v>
      </c>
    </row>
    <row r="424" ht="12" customHeight="1" spans="1:16">
      <c r="A424" s="14">
        <v>208</v>
      </c>
      <c r="B424" s="15" t="s">
        <v>223</v>
      </c>
      <c r="C424" s="25"/>
      <c r="D424" s="16">
        <v>176.22</v>
      </c>
      <c r="E424" s="17"/>
      <c r="F424" s="17">
        <v>128.93</v>
      </c>
      <c r="G424" s="17"/>
      <c r="H424" s="16">
        <v>176.22</v>
      </c>
      <c r="I424" s="17"/>
      <c r="J424" s="17">
        <v>128.93</v>
      </c>
      <c r="K424" s="17"/>
      <c r="L424" s="43">
        <v>176.22</v>
      </c>
      <c r="M424" s="17"/>
      <c r="N424" s="17">
        <v>128.93</v>
      </c>
      <c r="O424" s="17"/>
      <c r="P424" s="19"/>
    </row>
    <row r="425" ht="12" customHeight="1" spans="1:16">
      <c r="A425" s="14"/>
      <c r="B425" s="15"/>
      <c r="C425" s="18">
        <v>25</v>
      </c>
      <c r="D425" s="16"/>
      <c r="E425" s="17">
        <v>4071</v>
      </c>
      <c r="F425" s="17"/>
      <c r="G425" s="17">
        <v>2863.13</v>
      </c>
      <c r="H425" s="16"/>
      <c r="I425" s="17">
        <v>4071</v>
      </c>
      <c r="J425" s="17"/>
      <c r="K425" s="17">
        <v>2863.13</v>
      </c>
      <c r="L425" s="43"/>
      <c r="M425" s="17">
        <v>4071</v>
      </c>
      <c r="N425" s="17"/>
      <c r="O425" s="17">
        <v>2863.13</v>
      </c>
      <c r="P425" s="19">
        <f>I425+K425-M425-O425</f>
        <v>0</v>
      </c>
    </row>
    <row r="426" ht="12" customHeight="1" spans="1:16">
      <c r="A426" s="14">
        <v>209</v>
      </c>
      <c r="B426" s="15" t="s">
        <v>224</v>
      </c>
      <c r="C426" s="18"/>
      <c r="D426" s="16">
        <v>149.46</v>
      </c>
      <c r="E426" s="17"/>
      <c r="F426" s="17">
        <v>100.12</v>
      </c>
      <c r="G426" s="17"/>
      <c r="H426" s="16">
        <v>149.46</v>
      </c>
      <c r="I426" s="17"/>
      <c r="J426" s="17">
        <v>100.12</v>
      </c>
      <c r="K426" s="17"/>
      <c r="L426" s="43">
        <v>149.46</v>
      </c>
      <c r="M426" s="17"/>
      <c r="N426" s="17">
        <v>100.12</v>
      </c>
      <c r="O426" s="17"/>
      <c r="P426" s="19"/>
    </row>
    <row r="427" ht="12" customHeight="1" spans="1:16">
      <c r="A427" s="14"/>
      <c r="B427" s="15"/>
      <c r="C427" s="18">
        <v>25</v>
      </c>
      <c r="D427" s="16"/>
      <c r="E427" s="17">
        <v>3272.25</v>
      </c>
      <c r="F427" s="17"/>
      <c r="G427" s="17">
        <v>1944.5</v>
      </c>
      <c r="H427" s="16"/>
      <c r="I427" s="17">
        <v>3272.25</v>
      </c>
      <c r="J427" s="17"/>
      <c r="K427" s="17">
        <v>1944.5</v>
      </c>
      <c r="L427" s="43"/>
      <c r="M427" s="17">
        <v>3272.25</v>
      </c>
      <c r="N427" s="17"/>
      <c r="O427" s="17">
        <v>1944.5</v>
      </c>
      <c r="P427" s="19">
        <f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112.32</v>
      </c>
      <c r="E428" s="17"/>
      <c r="F428" s="17">
        <v>55.44</v>
      </c>
      <c r="G428" s="17"/>
      <c r="H428" s="16">
        <v>112.32</v>
      </c>
      <c r="I428" s="17"/>
      <c r="J428" s="17">
        <v>55.44</v>
      </c>
      <c r="K428" s="17"/>
      <c r="L428" s="43">
        <v>112.32</v>
      </c>
      <c r="M428" s="17"/>
      <c r="N428" s="17">
        <v>55.44</v>
      </c>
      <c r="O428" s="17"/>
      <c r="P428" s="19"/>
    </row>
    <row r="429" ht="12" customHeight="1" spans="1:16">
      <c r="A429" s="14"/>
      <c r="B429" s="15"/>
      <c r="C429" s="23">
        <v>25</v>
      </c>
      <c r="D429" s="16"/>
      <c r="E429" s="17">
        <v>2643.13</v>
      </c>
      <c r="F429" s="17"/>
      <c r="G429" s="17">
        <v>1734.25</v>
      </c>
      <c r="H429" s="16"/>
      <c r="I429" s="17">
        <v>2643.13</v>
      </c>
      <c r="J429" s="17"/>
      <c r="K429" s="17">
        <v>1734.25</v>
      </c>
      <c r="L429" s="43"/>
      <c r="M429" s="17">
        <v>2643.13</v>
      </c>
      <c r="N429" s="17"/>
      <c r="O429" s="17">
        <v>1734.25</v>
      </c>
      <c r="P429" s="19">
        <f>I429+K429-M429-O429</f>
        <v>0</v>
      </c>
    </row>
    <row r="430" ht="12" customHeight="1" spans="1:16">
      <c r="A430" s="14">
        <v>211</v>
      </c>
      <c r="B430" s="15" t="s">
        <v>226</v>
      </c>
      <c r="C430" s="25"/>
      <c r="D430" s="16">
        <v>99.13</v>
      </c>
      <c r="E430" s="17"/>
      <c r="F430" s="17">
        <v>83.3</v>
      </c>
      <c r="G430" s="17"/>
      <c r="H430" s="16">
        <v>99.13</v>
      </c>
      <c r="I430" s="17"/>
      <c r="J430" s="17">
        <v>83.3</v>
      </c>
      <c r="K430" s="17"/>
      <c r="L430" s="43">
        <v>99.13</v>
      </c>
      <c r="M430" s="17"/>
      <c r="N430" s="17">
        <v>83.3</v>
      </c>
      <c r="O430" s="17"/>
      <c r="P430" s="19"/>
    </row>
    <row r="431" ht="12" customHeight="1" spans="1:16">
      <c r="A431" s="14"/>
      <c r="B431" s="15"/>
      <c r="C431" s="18">
        <v>25</v>
      </c>
      <c r="D431" s="16"/>
      <c r="E431" s="17">
        <v>3122.13</v>
      </c>
      <c r="F431" s="17"/>
      <c r="G431" s="17">
        <v>2316.38</v>
      </c>
      <c r="H431" s="16"/>
      <c r="I431" s="17">
        <v>3122.13</v>
      </c>
      <c r="J431" s="17"/>
      <c r="K431" s="17">
        <v>2316.38</v>
      </c>
      <c r="L431" s="43"/>
      <c r="M431" s="17">
        <v>3122.13</v>
      </c>
      <c r="N431" s="17"/>
      <c r="O431" s="17">
        <v>2316.38</v>
      </c>
      <c r="P431" s="19">
        <f>I431+K431-M431-O431</f>
        <v>0</v>
      </c>
    </row>
    <row r="432" ht="12" customHeight="1" spans="1:16">
      <c r="A432" s="14">
        <v>212</v>
      </c>
      <c r="B432" s="15" t="s">
        <v>227</v>
      </c>
      <c r="C432" s="18"/>
      <c r="D432" s="16">
        <v>150.64</v>
      </c>
      <c r="E432" s="17"/>
      <c r="F432" s="17">
        <v>102.01</v>
      </c>
      <c r="G432" s="17"/>
      <c r="H432" s="16">
        <v>150.64</v>
      </c>
      <c r="I432" s="17"/>
      <c r="J432" s="17">
        <v>102.01</v>
      </c>
      <c r="K432" s="17"/>
      <c r="L432" s="43">
        <v>150.64</v>
      </c>
      <c r="M432" s="17"/>
      <c r="N432" s="17">
        <v>102.01</v>
      </c>
      <c r="O432" s="17"/>
      <c r="P432" s="19"/>
    </row>
    <row r="433" ht="12" customHeight="1" spans="1:16">
      <c r="A433" s="14"/>
      <c r="B433" s="15"/>
      <c r="C433" s="18">
        <v>25</v>
      </c>
      <c r="D433" s="16"/>
      <c r="E433" s="17">
        <v>4611.38</v>
      </c>
      <c r="F433" s="17"/>
      <c r="G433" s="17">
        <v>2673.63</v>
      </c>
      <c r="H433" s="16"/>
      <c r="I433" s="17">
        <v>4611.38</v>
      </c>
      <c r="J433" s="17"/>
      <c r="K433" s="17">
        <v>2673.63</v>
      </c>
      <c r="L433" s="43"/>
      <c r="M433" s="17">
        <v>4611.38</v>
      </c>
      <c r="N433" s="17"/>
      <c r="O433" s="17">
        <v>2673.63</v>
      </c>
      <c r="P433" s="19">
        <f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218.27</v>
      </c>
      <c r="E434" s="17"/>
      <c r="F434" s="17">
        <v>111.88</v>
      </c>
      <c r="G434" s="17"/>
      <c r="H434" s="16">
        <v>218.27</v>
      </c>
      <c r="I434" s="17"/>
      <c r="J434" s="17">
        <v>111.88</v>
      </c>
      <c r="K434" s="17"/>
      <c r="L434" s="43">
        <v>218.27</v>
      </c>
      <c r="M434" s="17"/>
      <c r="N434" s="17">
        <v>111.88</v>
      </c>
      <c r="O434" s="17"/>
      <c r="P434" s="19"/>
    </row>
    <row r="435" ht="12" customHeight="1" spans="1:16">
      <c r="A435" s="14"/>
      <c r="B435" s="15"/>
      <c r="C435" s="23">
        <v>25</v>
      </c>
      <c r="D435" s="16"/>
      <c r="E435" s="17">
        <v>5838</v>
      </c>
      <c r="F435" s="17"/>
      <c r="G435" s="17">
        <v>2934.75</v>
      </c>
      <c r="H435" s="16"/>
      <c r="I435" s="17">
        <v>5838</v>
      </c>
      <c r="J435" s="17"/>
      <c r="K435" s="17">
        <v>2934.75</v>
      </c>
      <c r="L435" s="43"/>
      <c r="M435" s="17">
        <v>5838</v>
      </c>
      <c r="N435" s="17"/>
      <c r="O435" s="17">
        <v>2934.75</v>
      </c>
      <c r="P435" s="19">
        <f>I435+K435-M435-O435</f>
        <v>0</v>
      </c>
    </row>
    <row r="436" ht="12" customHeight="1" spans="1:16">
      <c r="A436" s="14">
        <v>214</v>
      </c>
      <c r="B436" s="15" t="s">
        <v>229</v>
      </c>
      <c r="C436" s="25"/>
      <c r="D436" s="16">
        <v>248.77</v>
      </c>
      <c r="E436" s="17"/>
      <c r="F436" s="17">
        <v>122.9</v>
      </c>
      <c r="G436" s="17"/>
      <c r="H436" s="16">
        <v>248.77</v>
      </c>
      <c r="I436" s="17"/>
      <c r="J436" s="17">
        <v>122.9</v>
      </c>
      <c r="K436" s="17"/>
      <c r="L436" s="43">
        <v>248.77</v>
      </c>
      <c r="M436" s="17"/>
      <c r="N436" s="17">
        <v>122.9</v>
      </c>
      <c r="O436" s="17"/>
      <c r="P436" s="19"/>
    </row>
    <row r="437" ht="12" customHeight="1" spans="1:16">
      <c r="A437" s="14"/>
      <c r="B437" s="15"/>
      <c r="C437" s="18">
        <v>25</v>
      </c>
      <c r="D437" s="16"/>
      <c r="E437" s="17">
        <v>6894.88</v>
      </c>
      <c r="F437" s="17"/>
      <c r="G437" s="17">
        <v>3160.5</v>
      </c>
      <c r="H437" s="16"/>
      <c r="I437" s="17">
        <v>6894.88</v>
      </c>
      <c r="J437" s="17"/>
      <c r="K437" s="17">
        <v>3160.5</v>
      </c>
      <c r="L437" s="43"/>
      <c r="M437" s="17">
        <v>6894.88</v>
      </c>
      <c r="N437" s="17"/>
      <c r="O437" s="17">
        <v>3160.5</v>
      </c>
      <c r="P437" s="19">
        <f>I437+K437-M437-O437</f>
        <v>0</v>
      </c>
    </row>
    <row r="438" ht="12" customHeight="1" spans="1:16">
      <c r="A438" s="14">
        <v>215</v>
      </c>
      <c r="B438" s="15" t="s">
        <v>230</v>
      </c>
      <c r="C438" s="18"/>
      <c r="D438" s="16">
        <v>302.82</v>
      </c>
      <c r="E438" s="17"/>
      <c r="F438" s="17">
        <v>129.94</v>
      </c>
      <c r="G438" s="17"/>
      <c r="H438" s="16">
        <v>302.82</v>
      </c>
      <c r="I438" s="17"/>
      <c r="J438" s="17">
        <v>129.94</v>
      </c>
      <c r="K438" s="17"/>
      <c r="L438" s="43">
        <v>302.82</v>
      </c>
      <c r="M438" s="17"/>
      <c r="N438" s="17">
        <v>129.94</v>
      </c>
      <c r="O438" s="17"/>
      <c r="P438" s="19"/>
    </row>
    <row r="439" ht="12" customHeight="1" spans="1:16">
      <c r="A439" s="14"/>
      <c r="B439" s="15"/>
      <c r="C439" s="18">
        <v>25</v>
      </c>
      <c r="D439" s="16"/>
      <c r="E439" s="17">
        <v>7544.88</v>
      </c>
      <c r="F439" s="17"/>
      <c r="G439" s="17">
        <v>3140.75</v>
      </c>
      <c r="H439" s="16"/>
      <c r="I439" s="17">
        <v>7544.88</v>
      </c>
      <c r="J439" s="17"/>
      <c r="K439" s="17">
        <v>3140.75</v>
      </c>
      <c r="L439" s="43"/>
      <c r="M439" s="17">
        <v>7544.88</v>
      </c>
      <c r="N439" s="17"/>
      <c r="O439" s="17">
        <v>3140.75</v>
      </c>
      <c r="P439" s="19">
        <f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300.77</v>
      </c>
      <c r="E440" s="17"/>
      <c r="F440" s="17">
        <v>121.32</v>
      </c>
      <c r="G440" s="17"/>
      <c r="H440" s="16">
        <v>300.77</v>
      </c>
      <c r="I440" s="17"/>
      <c r="J440" s="17">
        <v>121.32</v>
      </c>
      <c r="K440" s="17"/>
      <c r="L440" s="43">
        <v>300.77</v>
      </c>
      <c r="M440" s="17"/>
      <c r="N440" s="17">
        <v>121.32</v>
      </c>
      <c r="O440" s="17"/>
      <c r="P440" s="19"/>
    </row>
    <row r="441" ht="12" customHeight="1" spans="1:16">
      <c r="A441" s="14"/>
      <c r="B441" s="15"/>
      <c r="C441" s="23">
        <v>25</v>
      </c>
      <c r="D441" s="16"/>
      <c r="E441" s="17">
        <v>7386</v>
      </c>
      <c r="F441" s="17"/>
      <c r="G441" s="17">
        <v>3032.75</v>
      </c>
      <c r="H441" s="16"/>
      <c r="I441" s="17">
        <v>7386</v>
      </c>
      <c r="J441" s="17"/>
      <c r="K441" s="17">
        <v>3032.75</v>
      </c>
      <c r="L441" s="43"/>
      <c r="M441" s="17">
        <v>7386</v>
      </c>
      <c r="N441" s="17"/>
      <c r="O441" s="17">
        <v>3032.75</v>
      </c>
      <c r="P441" s="19">
        <f>I441+K441-M441-O441</f>
        <v>0</v>
      </c>
    </row>
    <row r="442" ht="12" customHeight="1" spans="1:16">
      <c r="A442" s="14">
        <v>217</v>
      </c>
      <c r="B442" s="15" t="s">
        <v>232</v>
      </c>
      <c r="C442" s="25"/>
      <c r="D442" s="16">
        <v>290.11</v>
      </c>
      <c r="E442" s="17"/>
      <c r="F442" s="17">
        <v>121.3</v>
      </c>
      <c r="G442" s="17"/>
      <c r="H442" s="16">
        <v>290.11</v>
      </c>
      <c r="I442" s="17"/>
      <c r="J442" s="17">
        <v>121.3</v>
      </c>
      <c r="K442" s="17"/>
      <c r="L442" s="43">
        <v>290.11</v>
      </c>
      <c r="M442" s="17"/>
      <c r="N442" s="17">
        <v>121.3</v>
      </c>
      <c r="O442" s="17"/>
      <c r="P442" s="19"/>
    </row>
    <row r="443" ht="12" customHeight="1" spans="1:16">
      <c r="A443" s="14"/>
      <c r="B443" s="15"/>
      <c r="C443" s="18">
        <v>25</v>
      </c>
      <c r="D443" s="16"/>
      <c r="E443" s="17">
        <v>8134.63</v>
      </c>
      <c r="F443" s="17"/>
      <c r="G443" s="17">
        <v>3147</v>
      </c>
      <c r="H443" s="16"/>
      <c r="I443" s="17">
        <v>8134.63</v>
      </c>
      <c r="J443" s="17"/>
      <c r="K443" s="17">
        <v>3147</v>
      </c>
      <c r="L443" s="43"/>
      <c r="M443" s="17">
        <v>8134.63</v>
      </c>
      <c r="N443" s="17"/>
      <c r="O443" s="17">
        <v>3147</v>
      </c>
      <c r="P443" s="19">
        <f>I443+K443-M443-O443</f>
        <v>0</v>
      </c>
    </row>
    <row r="444" ht="12" customHeight="1" spans="1:16">
      <c r="A444" s="14">
        <v>218</v>
      </c>
      <c r="B444" s="15" t="s">
        <v>233</v>
      </c>
      <c r="C444" s="18"/>
      <c r="D444" s="16">
        <v>360.66</v>
      </c>
      <c r="E444" s="17"/>
      <c r="F444" s="17">
        <v>130.46</v>
      </c>
      <c r="G444" s="17"/>
      <c r="H444" s="16">
        <v>360.66</v>
      </c>
      <c r="I444" s="17"/>
      <c r="J444" s="17">
        <v>130.46</v>
      </c>
      <c r="K444" s="17"/>
      <c r="L444" s="43">
        <v>360.66</v>
      </c>
      <c r="M444" s="17"/>
      <c r="N444" s="17">
        <v>130.46</v>
      </c>
      <c r="O444" s="17"/>
      <c r="P444" s="19"/>
    </row>
    <row r="445" ht="12" customHeight="1" spans="1:16">
      <c r="A445" s="14"/>
      <c r="B445" s="15"/>
      <c r="C445" s="18">
        <v>25</v>
      </c>
      <c r="D445" s="16"/>
      <c r="E445" s="17">
        <v>7173.13</v>
      </c>
      <c r="F445" s="17"/>
      <c r="G445" s="17">
        <v>2326.63</v>
      </c>
      <c r="H445" s="16"/>
      <c r="I445" s="17">
        <v>7173.13</v>
      </c>
      <c r="J445" s="17"/>
      <c r="K445" s="17">
        <v>2326.63</v>
      </c>
      <c r="L445" s="43"/>
      <c r="M445" s="17">
        <v>7173.13</v>
      </c>
      <c r="N445" s="17"/>
      <c r="O445" s="17">
        <v>2326.63</v>
      </c>
      <c r="P445" s="19">
        <f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213.19</v>
      </c>
      <c r="E446" s="17"/>
      <c r="F446" s="17">
        <v>55.67</v>
      </c>
      <c r="G446" s="17"/>
      <c r="H446" s="16">
        <v>213.19</v>
      </c>
      <c r="I446" s="17"/>
      <c r="J446" s="17">
        <v>55.67</v>
      </c>
      <c r="K446" s="17"/>
      <c r="L446" s="43">
        <v>213.19</v>
      </c>
      <c r="M446" s="17"/>
      <c r="N446" s="17">
        <v>55.67</v>
      </c>
      <c r="O446" s="17"/>
      <c r="P446" s="19"/>
    </row>
    <row r="447" ht="12" customHeight="1" spans="1:16">
      <c r="A447" s="14"/>
      <c r="B447" s="15"/>
      <c r="C447" s="23">
        <v>25</v>
      </c>
      <c r="D447" s="16"/>
      <c r="E447" s="17">
        <v>4882.5</v>
      </c>
      <c r="F447" s="17"/>
      <c r="G447" s="17">
        <v>1428.75</v>
      </c>
      <c r="H447" s="16"/>
      <c r="I447" s="17">
        <v>4882.5</v>
      </c>
      <c r="J447" s="17"/>
      <c r="K447" s="17">
        <v>1428.75</v>
      </c>
      <c r="L447" s="43"/>
      <c r="M447" s="17">
        <v>4882.5</v>
      </c>
      <c r="N447" s="17"/>
      <c r="O447" s="17">
        <v>1428.75</v>
      </c>
      <c r="P447" s="19">
        <f>I447+K447-M447-O447</f>
        <v>0</v>
      </c>
    </row>
    <row r="448" ht="12" customHeight="1" spans="1:16">
      <c r="A448" s="14">
        <v>220</v>
      </c>
      <c r="B448" s="15" t="s">
        <v>235</v>
      </c>
      <c r="C448" s="25"/>
      <c r="D448" s="16">
        <v>177.41</v>
      </c>
      <c r="E448" s="17"/>
      <c r="F448" s="17">
        <v>58.63</v>
      </c>
      <c r="G448" s="17"/>
      <c r="H448" s="16">
        <v>177.41</v>
      </c>
      <c r="I448" s="17"/>
      <c r="J448" s="17">
        <v>58.63</v>
      </c>
      <c r="K448" s="17"/>
      <c r="L448" s="43">
        <v>177.41</v>
      </c>
      <c r="M448" s="17"/>
      <c r="N448" s="17">
        <v>58.63</v>
      </c>
      <c r="O448" s="17"/>
      <c r="P448" s="19"/>
    </row>
    <row r="449" ht="12" customHeight="1" spans="1:16">
      <c r="A449" s="14"/>
      <c r="B449" s="15"/>
      <c r="C449" s="18">
        <v>25</v>
      </c>
      <c r="D449" s="16"/>
      <c r="E449" s="17">
        <v>4739.5</v>
      </c>
      <c r="F449" s="17"/>
      <c r="G449" s="17">
        <v>1448.13</v>
      </c>
      <c r="H449" s="16"/>
      <c r="I449" s="17">
        <v>4739.5</v>
      </c>
      <c r="J449" s="17"/>
      <c r="K449" s="17">
        <v>1448.13</v>
      </c>
      <c r="L449" s="43"/>
      <c r="M449" s="17">
        <v>4739.5</v>
      </c>
      <c r="N449" s="17"/>
      <c r="O449" s="17">
        <v>1448.13</v>
      </c>
      <c r="P449" s="19">
        <f>I449+K449-M449-O449</f>
        <v>0</v>
      </c>
    </row>
    <row r="450" ht="12" customHeight="1" spans="1:16">
      <c r="A450" s="14">
        <v>221</v>
      </c>
      <c r="B450" s="15" t="s">
        <v>236</v>
      </c>
      <c r="C450" s="18"/>
      <c r="D450" s="16">
        <v>201.75</v>
      </c>
      <c r="E450" s="17"/>
      <c r="F450" s="17">
        <v>57.22</v>
      </c>
      <c r="G450" s="17"/>
      <c r="H450" s="16">
        <v>201.75</v>
      </c>
      <c r="I450" s="17"/>
      <c r="J450" s="17">
        <v>57.22</v>
      </c>
      <c r="K450" s="17"/>
      <c r="L450" s="43">
        <v>201.75</v>
      </c>
      <c r="M450" s="17"/>
      <c r="N450" s="17">
        <v>57.22</v>
      </c>
      <c r="O450" s="17"/>
      <c r="P450" s="19"/>
    </row>
    <row r="451" ht="12" customHeight="1" spans="1:16">
      <c r="A451" s="14"/>
      <c r="B451" s="15"/>
      <c r="C451" s="18">
        <v>25</v>
      </c>
      <c r="D451" s="16"/>
      <c r="E451" s="17">
        <v>5302.75</v>
      </c>
      <c r="F451" s="17"/>
      <c r="G451" s="17">
        <v>1391.5</v>
      </c>
      <c r="H451" s="16"/>
      <c r="I451" s="17">
        <v>5302.75</v>
      </c>
      <c r="J451" s="17"/>
      <c r="K451" s="17">
        <v>1391.5</v>
      </c>
      <c r="L451" s="43"/>
      <c r="M451" s="17">
        <v>5302.75</v>
      </c>
      <c r="N451" s="17"/>
      <c r="O451" s="17">
        <v>1391.5</v>
      </c>
      <c r="P451" s="19">
        <f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222.47</v>
      </c>
      <c r="E452" s="17"/>
      <c r="F452" s="17">
        <v>54.1</v>
      </c>
      <c r="G452" s="17"/>
      <c r="H452" s="16">
        <v>222.47</v>
      </c>
      <c r="I452" s="17"/>
      <c r="J452" s="17">
        <v>54.1</v>
      </c>
      <c r="K452" s="17"/>
      <c r="L452" s="43">
        <v>222.47</v>
      </c>
      <c r="M452" s="17"/>
      <c r="N452" s="17">
        <v>54.1</v>
      </c>
      <c r="O452" s="17"/>
      <c r="P452" s="19"/>
    </row>
    <row r="453" ht="12" customHeight="1" spans="1:16">
      <c r="A453" s="14"/>
      <c r="B453" s="15"/>
      <c r="C453" s="23">
        <v>25</v>
      </c>
      <c r="D453" s="16"/>
      <c r="E453" s="17">
        <v>5459.38</v>
      </c>
      <c r="F453" s="17"/>
      <c r="G453" s="17">
        <v>1338</v>
      </c>
      <c r="H453" s="16"/>
      <c r="I453" s="17">
        <v>5459.38</v>
      </c>
      <c r="J453" s="17"/>
      <c r="K453" s="17">
        <v>1338</v>
      </c>
      <c r="L453" s="43"/>
      <c r="M453" s="17">
        <v>5459.38</v>
      </c>
      <c r="N453" s="17"/>
      <c r="O453" s="17">
        <v>1338</v>
      </c>
      <c r="P453" s="19">
        <f>I453+K453-M453-O453</f>
        <v>0</v>
      </c>
    </row>
    <row r="454" ht="12" customHeight="1" spans="1:16">
      <c r="A454" s="14">
        <v>223</v>
      </c>
      <c r="B454" s="15" t="s">
        <v>238</v>
      </c>
      <c r="C454" s="25"/>
      <c r="D454" s="16">
        <v>214.28</v>
      </c>
      <c r="E454" s="17"/>
      <c r="F454" s="17">
        <v>52.94</v>
      </c>
      <c r="G454" s="17"/>
      <c r="H454" s="16">
        <v>214.28</v>
      </c>
      <c r="I454" s="17"/>
      <c r="J454" s="17">
        <v>52.94</v>
      </c>
      <c r="K454" s="17"/>
      <c r="L454" s="43">
        <v>214.28</v>
      </c>
      <c r="M454" s="17"/>
      <c r="N454" s="17">
        <v>52.94</v>
      </c>
      <c r="O454" s="17"/>
      <c r="P454" s="19"/>
    </row>
    <row r="455" ht="12" customHeight="1" spans="1:16">
      <c r="A455" s="14"/>
      <c r="B455" s="15"/>
      <c r="C455" s="18">
        <v>25</v>
      </c>
      <c r="D455" s="16"/>
      <c r="E455" s="17">
        <v>5611.38</v>
      </c>
      <c r="F455" s="17"/>
      <c r="G455" s="17">
        <v>1354.25</v>
      </c>
      <c r="H455" s="16"/>
      <c r="I455" s="17">
        <v>5611.38</v>
      </c>
      <c r="J455" s="17"/>
      <c r="K455" s="17">
        <v>1354.25</v>
      </c>
      <c r="L455" s="43"/>
      <c r="M455" s="17">
        <v>5611.38</v>
      </c>
      <c r="N455" s="17"/>
      <c r="O455" s="17">
        <v>1354.25</v>
      </c>
      <c r="P455" s="19">
        <f>I455+K455-M455-O455</f>
        <v>0</v>
      </c>
    </row>
    <row r="456" ht="12" customHeight="1" spans="1:16">
      <c r="A456" s="14">
        <v>224</v>
      </c>
      <c r="B456" s="15" t="s">
        <v>239</v>
      </c>
      <c r="C456" s="18"/>
      <c r="D456" s="16">
        <v>234.63</v>
      </c>
      <c r="E456" s="17"/>
      <c r="F456" s="17">
        <v>55.4</v>
      </c>
      <c r="G456" s="17"/>
      <c r="H456" s="16">
        <v>234.63</v>
      </c>
      <c r="I456" s="17"/>
      <c r="J456" s="17">
        <v>55.4</v>
      </c>
      <c r="K456" s="17"/>
      <c r="L456" s="43">
        <v>234.63</v>
      </c>
      <c r="M456" s="17"/>
      <c r="N456" s="17">
        <v>55.4</v>
      </c>
      <c r="O456" s="17"/>
      <c r="P456" s="19"/>
    </row>
    <row r="457" ht="12" customHeight="1" spans="1:16">
      <c r="A457" s="14"/>
      <c r="B457" s="15"/>
      <c r="C457" s="18">
        <v>25</v>
      </c>
      <c r="D457" s="16"/>
      <c r="E457" s="17">
        <v>5676.63</v>
      </c>
      <c r="F457" s="17"/>
      <c r="G457" s="17">
        <v>1384.38</v>
      </c>
      <c r="H457" s="16"/>
      <c r="I457" s="17">
        <v>5676.63</v>
      </c>
      <c r="J457" s="17"/>
      <c r="K457" s="17">
        <v>1384.38</v>
      </c>
      <c r="L457" s="43"/>
      <c r="M457" s="17">
        <v>5676.63</v>
      </c>
      <c r="N457" s="17"/>
      <c r="O457" s="17">
        <v>1384.38</v>
      </c>
      <c r="P457" s="19">
        <f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219.5</v>
      </c>
      <c r="E458" s="17"/>
      <c r="F458" s="17">
        <v>55.35</v>
      </c>
      <c r="G458" s="17"/>
      <c r="H458" s="16">
        <v>219.5</v>
      </c>
      <c r="I458" s="17"/>
      <c r="J458" s="17">
        <v>55.35</v>
      </c>
      <c r="K458" s="17"/>
      <c r="L458" s="43">
        <v>219.5</v>
      </c>
      <c r="M458" s="17"/>
      <c r="N458" s="17">
        <v>55.35</v>
      </c>
      <c r="O458" s="17"/>
      <c r="P458" s="19"/>
    </row>
    <row r="459" ht="12" customHeight="1" spans="1:16">
      <c r="A459" s="14"/>
      <c r="B459" s="15"/>
      <c r="C459" s="23">
        <v>25</v>
      </c>
      <c r="D459" s="16"/>
      <c r="E459" s="17">
        <v>5229.5</v>
      </c>
      <c r="F459" s="17"/>
      <c r="G459" s="17">
        <v>1400.75</v>
      </c>
      <c r="H459" s="16"/>
      <c r="I459" s="17">
        <v>5229.5</v>
      </c>
      <c r="J459" s="17"/>
      <c r="K459" s="17">
        <v>1400.75</v>
      </c>
      <c r="L459" s="43"/>
      <c r="M459" s="17">
        <v>5229.5</v>
      </c>
      <c r="N459" s="17"/>
      <c r="O459" s="17">
        <v>1400.75</v>
      </c>
      <c r="P459" s="19">
        <f>I459+K459-M459-O459</f>
        <v>0</v>
      </c>
    </row>
    <row r="460" ht="12" customHeight="1" spans="1:16">
      <c r="A460" s="14">
        <v>226</v>
      </c>
      <c r="B460" s="15" t="s">
        <v>241</v>
      </c>
      <c r="C460" s="25"/>
      <c r="D460" s="16">
        <v>198.86</v>
      </c>
      <c r="E460" s="17"/>
      <c r="F460" s="17">
        <v>56.71</v>
      </c>
      <c r="G460" s="17"/>
      <c r="H460" s="16">
        <v>198.86</v>
      </c>
      <c r="I460" s="17"/>
      <c r="J460" s="17">
        <v>56.71</v>
      </c>
      <c r="K460" s="17"/>
      <c r="L460" s="43">
        <v>198.86</v>
      </c>
      <c r="M460" s="17"/>
      <c r="N460" s="17">
        <v>56.71</v>
      </c>
      <c r="O460" s="17"/>
      <c r="P460" s="19"/>
    </row>
    <row r="461" ht="12" customHeight="1" spans="1:16">
      <c r="A461" s="14"/>
      <c r="B461" s="15"/>
      <c r="C461" s="18">
        <v>25</v>
      </c>
      <c r="D461" s="16"/>
      <c r="E461" s="17">
        <v>2863.5</v>
      </c>
      <c r="F461" s="17"/>
      <c r="G461" s="17">
        <v>1057.5</v>
      </c>
      <c r="H461" s="16"/>
      <c r="I461" s="17">
        <v>2863.5</v>
      </c>
      <c r="J461" s="17"/>
      <c r="K461" s="17">
        <v>1057.5</v>
      </c>
      <c r="L461" s="43"/>
      <c r="M461" s="17">
        <v>2863.5</v>
      </c>
      <c r="N461" s="17"/>
      <c r="O461" s="17">
        <v>1057.5</v>
      </c>
      <c r="P461" s="19">
        <f>I461+K461-M461-O461</f>
        <v>0</v>
      </c>
    </row>
    <row r="462" ht="12" customHeight="1" spans="1:16">
      <c r="A462" s="14">
        <v>227</v>
      </c>
      <c r="B462" s="15" t="s">
        <v>242</v>
      </c>
      <c r="C462" s="18"/>
      <c r="D462" s="16">
        <v>30.22</v>
      </c>
      <c r="E462" s="17"/>
      <c r="F462" s="17">
        <v>27.89</v>
      </c>
      <c r="G462" s="17"/>
      <c r="H462" s="16">
        <v>30.22</v>
      </c>
      <c r="I462" s="17"/>
      <c r="J462" s="17">
        <v>27.89</v>
      </c>
      <c r="K462" s="17"/>
      <c r="L462" s="43">
        <v>30.22</v>
      </c>
      <c r="M462" s="17"/>
      <c r="N462" s="17">
        <v>27.89</v>
      </c>
      <c r="O462" s="17"/>
      <c r="P462" s="19"/>
    </row>
    <row r="463" ht="12" customHeight="1" spans="1:16">
      <c r="A463" s="14"/>
      <c r="B463" s="15"/>
      <c r="C463" s="18">
        <v>25</v>
      </c>
      <c r="D463" s="16"/>
      <c r="E463" s="17">
        <v>729.88</v>
      </c>
      <c r="F463" s="17"/>
      <c r="G463" s="17">
        <v>822.75</v>
      </c>
      <c r="H463" s="16"/>
      <c r="I463" s="17">
        <v>729.88</v>
      </c>
      <c r="J463" s="17"/>
      <c r="K463" s="17">
        <v>822.75</v>
      </c>
      <c r="L463" s="43"/>
      <c r="M463" s="17">
        <v>729.88</v>
      </c>
      <c r="N463" s="17"/>
      <c r="O463" s="17">
        <v>822.75</v>
      </c>
      <c r="P463" s="19">
        <f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28.17</v>
      </c>
      <c r="E464" s="17"/>
      <c r="F464" s="17">
        <v>37.93</v>
      </c>
      <c r="G464" s="17"/>
      <c r="H464" s="16">
        <v>28.17</v>
      </c>
      <c r="I464" s="17"/>
      <c r="J464" s="17">
        <v>37.93</v>
      </c>
      <c r="K464" s="17"/>
      <c r="L464" s="43">
        <v>28.17</v>
      </c>
      <c r="M464" s="17"/>
      <c r="N464" s="17">
        <v>37.93</v>
      </c>
      <c r="O464" s="17"/>
      <c r="P464" s="19"/>
    </row>
    <row r="465" ht="12" customHeight="1" spans="1:16">
      <c r="A465" s="14"/>
      <c r="B465" s="15"/>
      <c r="C465" s="23">
        <v>25</v>
      </c>
      <c r="D465" s="16"/>
      <c r="E465" s="17">
        <v>1130.5</v>
      </c>
      <c r="F465" s="17"/>
      <c r="G465" s="17">
        <v>998.75</v>
      </c>
      <c r="H465" s="16"/>
      <c r="I465" s="17">
        <v>1130.5</v>
      </c>
      <c r="J465" s="17"/>
      <c r="K465" s="17">
        <v>998.75</v>
      </c>
      <c r="L465" s="43"/>
      <c r="M465" s="17">
        <v>1130.5</v>
      </c>
      <c r="N465" s="17"/>
      <c r="O465" s="17">
        <v>998.75</v>
      </c>
      <c r="P465" s="19">
        <f>I465+K465-M465-O465</f>
        <v>0</v>
      </c>
    </row>
    <row r="466" ht="12" customHeight="1" spans="1:16">
      <c r="A466" s="14">
        <v>229</v>
      </c>
      <c r="B466" s="15" t="s">
        <v>244</v>
      </c>
      <c r="C466" s="25"/>
      <c r="D466" s="16">
        <v>62.27</v>
      </c>
      <c r="E466" s="17"/>
      <c r="F466" s="17">
        <v>41.97</v>
      </c>
      <c r="G466" s="17"/>
      <c r="H466" s="16">
        <v>62.27</v>
      </c>
      <c r="I466" s="17"/>
      <c r="J466" s="17">
        <v>41.97</v>
      </c>
      <c r="K466" s="17"/>
      <c r="L466" s="43">
        <v>62.27</v>
      </c>
      <c r="M466" s="17"/>
      <c r="N466" s="17">
        <v>41.97</v>
      </c>
      <c r="O466" s="17"/>
      <c r="P466" s="19"/>
    </row>
    <row r="467" ht="12" customHeight="1" spans="1:16">
      <c r="A467" s="14"/>
      <c r="B467" s="15"/>
      <c r="C467" s="18">
        <v>25</v>
      </c>
      <c r="D467" s="16"/>
      <c r="E467" s="17">
        <v>2168.38</v>
      </c>
      <c r="F467" s="17"/>
      <c r="G467" s="17">
        <v>1244.38</v>
      </c>
      <c r="H467" s="16"/>
      <c r="I467" s="17">
        <v>2168.38</v>
      </c>
      <c r="J467" s="17"/>
      <c r="K467" s="17">
        <v>1244.38</v>
      </c>
      <c r="L467" s="43"/>
      <c r="M467" s="17">
        <v>2168.38</v>
      </c>
      <c r="N467" s="17"/>
      <c r="O467" s="17">
        <v>1244.38</v>
      </c>
      <c r="P467" s="19">
        <f>I467+K467-M467-O467</f>
        <v>0</v>
      </c>
    </row>
    <row r="468" ht="12" customHeight="1" spans="1:16">
      <c r="A468" s="14">
        <v>230</v>
      </c>
      <c r="B468" s="15" t="s">
        <v>245</v>
      </c>
      <c r="C468" s="18"/>
      <c r="D468" s="16">
        <v>111.2</v>
      </c>
      <c r="E468" s="17"/>
      <c r="F468" s="17">
        <v>57.58</v>
      </c>
      <c r="G468" s="17"/>
      <c r="H468" s="16">
        <v>111.2</v>
      </c>
      <c r="I468" s="17"/>
      <c r="J468" s="17">
        <v>57.58</v>
      </c>
      <c r="K468" s="17"/>
      <c r="L468" s="43">
        <v>111.2</v>
      </c>
      <c r="M468" s="17"/>
      <c r="N468" s="17">
        <v>57.58</v>
      </c>
      <c r="O468" s="17"/>
      <c r="P468" s="19"/>
    </row>
    <row r="469" ht="12" customHeight="1" spans="1:16">
      <c r="A469" s="14"/>
      <c r="B469" s="15"/>
      <c r="C469" s="18">
        <v>25</v>
      </c>
      <c r="D469" s="16"/>
      <c r="E469" s="17">
        <v>2504.25</v>
      </c>
      <c r="F469" s="17"/>
      <c r="G469" s="17">
        <v>1389.13</v>
      </c>
      <c r="H469" s="16"/>
      <c r="I469" s="17">
        <v>2504.25</v>
      </c>
      <c r="J469" s="17"/>
      <c r="K469" s="17">
        <v>1389.13</v>
      </c>
      <c r="L469" s="43"/>
      <c r="M469" s="17">
        <v>2504.25</v>
      </c>
      <c r="N469" s="17"/>
      <c r="O469" s="17">
        <v>1389.13</v>
      </c>
      <c r="P469" s="19">
        <f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89.14</v>
      </c>
      <c r="E470" s="17"/>
      <c r="F470" s="17">
        <v>53.55</v>
      </c>
      <c r="G470" s="17"/>
      <c r="H470" s="16">
        <v>89.14</v>
      </c>
      <c r="I470" s="17"/>
      <c r="J470" s="17">
        <v>53.55</v>
      </c>
      <c r="K470" s="17"/>
      <c r="L470" s="43">
        <v>89.14</v>
      </c>
      <c r="M470" s="17"/>
      <c r="N470" s="17">
        <v>53.55</v>
      </c>
      <c r="O470" s="17"/>
      <c r="P470" s="19"/>
    </row>
    <row r="471" ht="12" customHeight="1" spans="1:16">
      <c r="A471" s="14"/>
      <c r="B471" s="15"/>
      <c r="C471" s="23">
        <v>25</v>
      </c>
      <c r="D471" s="16"/>
      <c r="E471" s="17">
        <v>2796.75</v>
      </c>
      <c r="F471" s="17"/>
      <c r="G471" s="17">
        <v>1421.63</v>
      </c>
      <c r="H471" s="16"/>
      <c r="I471" s="17">
        <v>2796.75</v>
      </c>
      <c r="J471" s="17"/>
      <c r="K471" s="17">
        <v>1421.63</v>
      </c>
      <c r="L471" s="43"/>
      <c r="M471" s="17">
        <v>2796.75</v>
      </c>
      <c r="N471" s="17"/>
      <c r="O471" s="17">
        <v>1421.63</v>
      </c>
      <c r="P471" s="19">
        <f>I471+K471-M471-O471</f>
        <v>0</v>
      </c>
    </row>
    <row r="472" ht="12" customHeight="1" spans="1:16">
      <c r="A472" s="14">
        <v>232</v>
      </c>
      <c r="B472" s="15" t="s">
        <v>247</v>
      </c>
      <c r="C472" s="25"/>
      <c r="D472" s="16">
        <v>134.6</v>
      </c>
      <c r="E472" s="17"/>
      <c r="F472" s="17">
        <v>60.18</v>
      </c>
      <c r="G472" s="17"/>
      <c r="H472" s="16">
        <v>134.6</v>
      </c>
      <c r="I472" s="17"/>
      <c r="J472" s="17">
        <v>60.18</v>
      </c>
      <c r="K472" s="17"/>
      <c r="L472" s="43">
        <v>134.6</v>
      </c>
      <c r="M472" s="17"/>
      <c r="N472" s="17">
        <v>60.18</v>
      </c>
      <c r="O472" s="17"/>
      <c r="P472" s="19"/>
    </row>
    <row r="473" ht="12" customHeight="1" spans="1:16">
      <c r="A473" s="14"/>
      <c r="B473" s="15"/>
      <c r="C473" s="18">
        <v>25</v>
      </c>
      <c r="D473" s="16"/>
      <c r="E473" s="17">
        <v>3239.75</v>
      </c>
      <c r="F473" s="17"/>
      <c r="G473" s="17">
        <v>1523.88</v>
      </c>
      <c r="H473" s="16"/>
      <c r="I473" s="17">
        <v>3239.75</v>
      </c>
      <c r="J473" s="17"/>
      <c r="K473" s="17">
        <v>1523.88</v>
      </c>
      <c r="L473" s="43"/>
      <c r="M473" s="17">
        <v>3239.75</v>
      </c>
      <c r="N473" s="17"/>
      <c r="O473" s="17">
        <v>1523.88</v>
      </c>
      <c r="P473" s="19">
        <f>I473+K473-M473-O473</f>
        <v>0</v>
      </c>
    </row>
    <row r="474" ht="12" customHeight="1" spans="1:16">
      <c r="A474" s="14">
        <v>233</v>
      </c>
      <c r="B474" s="15" t="s">
        <v>248</v>
      </c>
      <c r="C474" s="18"/>
      <c r="D474" s="16">
        <v>124.58</v>
      </c>
      <c r="E474" s="17"/>
      <c r="F474" s="17">
        <v>61.73</v>
      </c>
      <c r="G474" s="17"/>
      <c r="H474" s="16">
        <v>124.58</v>
      </c>
      <c r="I474" s="17"/>
      <c r="J474" s="17">
        <v>61.73</v>
      </c>
      <c r="K474" s="17"/>
      <c r="L474" s="43">
        <v>124.58</v>
      </c>
      <c r="M474" s="17"/>
      <c r="N474" s="17">
        <v>61.73</v>
      </c>
      <c r="O474" s="17"/>
      <c r="P474" s="19"/>
    </row>
    <row r="475" ht="12" customHeight="1" spans="1:16">
      <c r="A475" s="14"/>
      <c r="B475" s="15"/>
      <c r="C475" s="18">
        <v>25</v>
      </c>
      <c r="D475" s="16"/>
      <c r="E475" s="17">
        <v>2946.13</v>
      </c>
      <c r="F475" s="17"/>
      <c r="G475" s="17">
        <v>1511.38</v>
      </c>
      <c r="H475" s="16"/>
      <c r="I475" s="17">
        <v>2946.13</v>
      </c>
      <c r="J475" s="17"/>
      <c r="K475" s="17">
        <v>1511.38</v>
      </c>
      <c r="L475" s="43"/>
      <c r="M475" s="17">
        <v>2946.13</v>
      </c>
      <c r="N475" s="17"/>
      <c r="O475" s="17">
        <v>1511.38</v>
      </c>
      <c r="P475" s="19">
        <f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111.11</v>
      </c>
      <c r="E476" s="17"/>
      <c r="F476" s="17">
        <v>59.18</v>
      </c>
      <c r="G476" s="17"/>
      <c r="H476" s="16">
        <v>111.11</v>
      </c>
      <c r="I476" s="17"/>
      <c r="J476" s="17">
        <v>59.18</v>
      </c>
      <c r="K476" s="17"/>
      <c r="L476" s="43">
        <v>111.11</v>
      </c>
      <c r="M476" s="17"/>
      <c r="N476" s="17">
        <v>59.18</v>
      </c>
      <c r="O476" s="17"/>
      <c r="P476" s="19"/>
    </row>
    <row r="477" ht="12" customHeight="1" spans="1:16">
      <c r="A477" s="14"/>
      <c r="B477" s="15"/>
      <c r="C477" s="23">
        <v>25</v>
      </c>
      <c r="D477" s="16"/>
      <c r="E477" s="17">
        <v>3274.88</v>
      </c>
      <c r="F477" s="17"/>
      <c r="G477" s="17">
        <v>1958.63</v>
      </c>
      <c r="H477" s="16"/>
      <c r="I477" s="17">
        <v>3274.88</v>
      </c>
      <c r="J477" s="17"/>
      <c r="K477" s="17">
        <v>1958.63</v>
      </c>
      <c r="L477" s="43"/>
      <c r="M477" s="17">
        <v>3274.88</v>
      </c>
      <c r="N477" s="17"/>
      <c r="O477" s="17">
        <v>1958.63</v>
      </c>
      <c r="P477" s="19">
        <f>I477+K477-M477-O477</f>
        <v>0</v>
      </c>
    </row>
    <row r="478" ht="12" customHeight="1" spans="1:16">
      <c r="A478" s="14">
        <v>235</v>
      </c>
      <c r="B478" s="15" t="s">
        <v>250</v>
      </c>
      <c r="C478" s="25"/>
      <c r="D478" s="16">
        <v>150.88</v>
      </c>
      <c r="E478" s="17"/>
      <c r="F478" s="17">
        <v>97.51</v>
      </c>
      <c r="G478" s="17"/>
      <c r="H478" s="16">
        <v>150.88</v>
      </c>
      <c r="I478" s="17"/>
      <c r="J478" s="17">
        <v>97.51</v>
      </c>
      <c r="K478" s="17"/>
      <c r="L478" s="43">
        <v>150.88</v>
      </c>
      <c r="M478" s="17"/>
      <c r="N478" s="17">
        <v>97.51</v>
      </c>
      <c r="O478" s="17"/>
      <c r="P478" s="19"/>
    </row>
    <row r="479" ht="12" customHeight="1" spans="1:16">
      <c r="A479" s="14"/>
      <c r="B479" s="15"/>
      <c r="C479" s="18">
        <v>25</v>
      </c>
      <c r="D479" s="16"/>
      <c r="E479" s="17">
        <v>4704</v>
      </c>
      <c r="F479" s="17"/>
      <c r="G479" s="17">
        <v>2362.25</v>
      </c>
      <c r="H479" s="16"/>
      <c r="I479" s="17">
        <v>4704</v>
      </c>
      <c r="J479" s="17"/>
      <c r="K479" s="17">
        <v>2362.25</v>
      </c>
      <c r="L479" s="43"/>
      <c r="M479" s="17">
        <v>4704</v>
      </c>
      <c r="N479" s="17"/>
      <c r="O479" s="17">
        <v>2362.25</v>
      </c>
      <c r="P479" s="19">
        <f>I479+K479-M479-O479</f>
        <v>0</v>
      </c>
    </row>
    <row r="480" ht="12" customHeight="1" spans="1:16">
      <c r="A480" s="14">
        <v>236</v>
      </c>
      <c r="B480" s="15" t="s">
        <v>251</v>
      </c>
      <c r="C480" s="18"/>
      <c r="D480" s="16">
        <v>225.44</v>
      </c>
      <c r="E480" s="17"/>
      <c r="F480" s="17">
        <v>91.47</v>
      </c>
      <c r="G480" s="17"/>
      <c r="H480" s="16">
        <v>225.44</v>
      </c>
      <c r="I480" s="17"/>
      <c r="J480" s="17">
        <v>91.47</v>
      </c>
      <c r="K480" s="17"/>
      <c r="L480" s="43">
        <v>225.44</v>
      </c>
      <c r="M480" s="17"/>
      <c r="N480" s="17">
        <v>91.47</v>
      </c>
      <c r="O480" s="17"/>
      <c r="P480" s="19"/>
    </row>
    <row r="481" ht="12" customHeight="1" spans="1:16">
      <c r="A481" s="14"/>
      <c r="B481" s="15"/>
      <c r="C481" s="18">
        <v>25</v>
      </c>
      <c r="D481" s="16"/>
      <c r="E481" s="24">
        <v>6337</v>
      </c>
      <c r="F481" s="17"/>
      <c r="G481" s="24">
        <v>2335.38</v>
      </c>
      <c r="H481" s="16"/>
      <c r="I481" s="24">
        <v>6337</v>
      </c>
      <c r="J481" s="17"/>
      <c r="K481" s="24">
        <v>2335.38</v>
      </c>
      <c r="L481" s="43"/>
      <c r="M481" s="17">
        <v>6337</v>
      </c>
      <c r="N481" s="17"/>
      <c r="O481" s="17">
        <v>2335.38</v>
      </c>
      <c r="P481" s="19">
        <f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281.52</v>
      </c>
      <c r="E482" s="26"/>
      <c r="F482" s="17">
        <v>95.36</v>
      </c>
      <c r="G482" s="26"/>
      <c r="H482" s="16">
        <v>281.52</v>
      </c>
      <c r="I482" s="26"/>
      <c r="J482" s="17">
        <v>95.36</v>
      </c>
      <c r="K482" s="26"/>
      <c r="L482" s="43">
        <v>281.52</v>
      </c>
      <c r="M482" s="17"/>
      <c r="N482" s="17">
        <v>95.36</v>
      </c>
      <c r="O482" s="17"/>
      <c r="P482" s="19"/>
    </row>
    <row r="483" ht="12" customHeight="1" spans="1:16">
      <c r="A483" s="14"/>
      <c r="B483" s="15"/>
      <c r="C483" s="23">
        <v>25</v>
      </c>
      <c r="D483" s="16"/>
      <c r="E483" s="17">
        <v>7904.38</v>
      </c>
      <c r="F483" s="17"/>
      <c r="G483" s="17">
        <v>2461.5</v>
      </c>
      <c r="H483" s="16"/>
      <c r="I483" s="17">
        <v>7904.38</v>
      </c>
      <c r="J483" s="17"/>
      <c r="K483" s="17">
        <v>2461.5</v>
      </c>
      <c r="L483" s="43"/>
      <c r="M483" s="17">
        <v>7904.38</v>
      </c>
      <c r="N483" s="17"/>
      <c r="O483" s="17">
        <v>2461.5</v>
      </c>
      <c r="P483" s="19">
        <f>I483+K483-M483-O483</f>
        <v>0</v>
      </c>
    </row>
    <row r="484" ht="12" customHeight="1" spans="1:16">
      <c r="A484" s="14">
        <v>238</v>
      </c>
      <c r="B484" s="15" t="s">
        <v>253</v>
      </c>
      <c r="C484" s="25"/>
      <c r="D484" s="16">
        <v>350.83</v>
      </c>
      <c r="E484" s="17"/>
      <c r="F484" s="17">
        <v>101.56</v>
      </c>
      <c r="G484" s="17"/>
      <c r="H484" s="16">
        <v>350.83</v>
      </c>
      <c r="I484" s="17"/>
      <c r="J484" s="17">
        <v>101.56</v>
      </c>
      <c r="K484" s="17"/>
      <c r="L484" s="43">
        <v>350.83</v>
      </c>
      <c r="M484" s="17"/>
      <c r="N484" s="17">
        <v>101.56</v>
      </c>
      <c r="O484" s="17"/>
      <c r="P484" s="19"/>
    </row>
    <row r="485" ht="12" customHeight="1" spans="1:16">
      <c r="A485" s="14"/>
      <c r="B485" s="15"/>
      <c r="C485" s="18">
        <v>25</v>
      </c>
      <c r="D485" s="16"/>
      <c r="E485" s="17">
        <v>8386.75</v>
      </c>
      <c r="F485" s="17"/>
      <c r="G485" s="17">
        <v>2015.25</v>
      </c>
      <c r="H485" s="16"/>
      <c r="I485" s="17">
        <v>8386.75</v>
      </c>
      <c r="J485" s="17"/>
      <c r="K485" s="17">
        <v>2015.25</v>
      </c>
      <c r="L485" s="43"/>
      <c r="M485" s="17">
        <v>8386.75</v>
      </c>
      <c r="N485" s="17"/>
      <c r="O485" s="17">
        <v>2015.25</v>
      </c>
      <c r="P485" s="19">
        <f>I485+K485-M485-O485</f>
        <v>0</v>
      </c>
    </row>
    <row r="486" ht="12" customHeight="1" spans="1:16">
      <c r="A486" s="14">
        <v>239</v>
      </c>
      <c r="B486" s="15" t="s">
        <v>254</v>
      </c>
      <c r="C486" s="18"/>
      <c r="D486" s="16">
        <v>320.11</v>
      </c>
      <c r="E486" s="17"/>
      <c r="F486" s="17">
        <v>59.66</v>
      </c>
      <c r="G486" s="17"/>
      <c r="H486" s="16">
        <v>320.11</v>
      </c>
      <c r="I486" s="17"/>
      <c r="J486" s="17">
        <v>59.66</v>
      </c>
      <c r="K486" s="17"/>
      <c r="L486" s="43">
        <v>320.11</v>
      </c>
      <c r="M486" s="17"/>
      <c r="N486" s="17">
        <v>59.66</v>
      </c>
      <c r="O486" s="17"/>
      <c r="P486" s="19"/>
    </row>
    <row r="487" ht="12" customHeight="1" spans="1:16">
      <c r="A487" s="14"/>
      <c r="B487" s="15"/>
      <c r="C487" s="18">
        <v>25</v>
      </c>
      <c r="D487" s="16"/>
      <c r="E487" s="17">
        <v>7496.75</v>
      </c>
      <c r="F487" s="17"/>
      <c r="G487" s="17">
        <v>1249.88</v>
      </c>
      <c r="H487" s="16"/>
      <c r="I487" s="17">
        <v>7496.75</v>
      </c>
      <c r="J487" s="17"/>
      <c r="K487" s="17">
        <v>1249.88</v>
      </c>
      <c r="L487" s="43"/>
      <c r="M487" s="17">
        <v>7496.75</v>
      </c>
      <c r="N487" s="17"/>
      <c r="O487" s="17">
        <v>1249.88</v>
      </c>
      <c r="P487" s="19">
        <f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279.63</v>
      </c>
      <c r="E488" s="17"/>
      <c r="F488" s="17">
        <v>40.33</v>
      </c>
      <c r="G488" s="17"/>
      <c r="H488" s="16">
        <v>279.63</v>
      </c>
      <c r="I488" s="17"/>
      <c r="J488" s="17">
        <v>40.33</v>
      </c>
      <c r="K488" s="17"/>
      <c r="L488" s="43">
        <v>279.63</v>
      </c>
      <c r="M488" s="17"/>
      <c r="N488" s="17">
        <v>40.33</v>
      </c>
      <c r="O488" s="17"/>
      <c r="P488" s="19"/>
    </row>
    <row r="489" ht="12" customHeight="1" spans="1:16">
      <c r="A489" s="14"/>
      <c r="B489" s="15"/>
      <c r="C489" s="23">
        <v>25</v>
      </c>
      <c r="D489" s="16"/>
      <c r="E489" s="17">
        <v>6958</v>
      </c>
      <c r="F489" s="17"/>
      <c r="G489" s="17">
        <v>1042.25</v>
      </c>
      <c r="H489" s="16"/>
      <c r="I489" s="17">
        <v>6958</v>
      </c>
      <c r="J489" s="17"/>
      <c r="K489" s="17">
        <v>1042.25</v>
      </c>
      <c r="L489" s="43"/>
      <c r="M489" s="17">
        <v>6958</v>
      </c>
      <c r="N489" s="17"/>
      <c r="O489" s="17">
        <v>1042.25</v>
      </c>
      <c r="P489" s="19">
        <f>I489+K489-M489-O489</f>
        <v>0</v>
      </c>
    </row>
    <row r="490" ht="12" customHeight="1" spans="1:16">
      <c r="A490" s="14">
        <v>241</v>
      </c>
      <c r="B490" s="15" t="s">
        <v>256</v>
      </c>
      <c r="C490" s="25"/>
      <c r="D490" s="16">
        <v>277.01</v>
      </c>
      <c r="E490" s="17"/>
      <c r="F490" s="17">
        <v>43.05</v>
      </c>
      <c r="G490" s="17"/>
      <c r="H490" s="16">
        <v>277.01</v>
      </c>
      <c r="I490" s="17"/>
      <c r="J490" s="17">
        <v>43.05</v>
      </c>
      <c r="K490" s="17"/>
      <c r="L490" s="43">
        <v>277.01</v>
      </c>
      <c r="M490" s="17"/>
      <c r="N490" s="17">
        <v>43.05</v>
      </c>
      <c r="O490" s="17"/>
      <c r="P490" s="19"/>
    </row>
    <row r="491" ht="12" customHeight="1" spans="1:16">
      <c r="A491" s="14"/>
      <c r="B491" s="15"/>
      <c r="C491" s="18">
        <v>25</v>
      </c>
      <c r="D491" s="16"/>
      <c r="E491" s="17">
        <v>6732.25</v>
      </c>
      <c r="F491" s="17"/>
      <c r="G491" s="17">
        <v>1180.25</v>
      </c>
      <c r="H491" s="16"/>
      <c r="I491" s="17">
        <v>6732.25</v>
      </c>
      <c r="J491" s="17"/>
      <c r="K491" s="17">
        <v>1180.25</v>
      </c>
      <c r="L491" s="43"/>
      <c r="M491" s="17">
        <v>6732.25</v>
      </c>
      <c r="N491" s="17"/>
      <c r="O491" s="17">
        <v>1180.25</v>
      </c>
      <c r="P491" s="19">
        <f>I491+K491-M491-O491</f>
        <v>0</v>
      </c>
    </row>
    <row r="492" ht="12" customHeight="1" spans="1:16">
      <c r="A492" s="14">
        <v>242</v>
      </c>
      <c r="B492" s="15" t="s">
        <v>257</v>
      </c>
      <c r="C492" s="18"/>
      <c r="D492" s="16">
        <v>261.57</v>
      </c>
      <c r="E492" s="17"/>
      <c r="F492" s="17">
        <v>51.37</v>
      </c>
      <c r="G492" s="17"/>
      <c r="H492" s="16">
        <v>261.57</v>
      </c>
      <c r="I492" s="17"/>
      <c r="J492" s="17">
        <v>51.37</v>
      </c>
      <c r="K492" s="17"/>
      <c r="L492" s="43">
        <v>261.57</v>
      </c>
      <c r="M492" s="17"/>
      <c r="N492" s="17">
        <v>51.37</v>
      </c>
      <c r="O492" s="17"/>
      <c r="P492" s="19"/>
    </row>
    <row r="493" ht="12" customHeight="1" spans="1:16">
      <c r="A493" s="14"/>
      <c r="B493" s="15"/>
      <c r="C493" s="18">
        <v>25</v>
      </c>
      <c r="D493" s="16"/>
      <c r="E493" s="17">
        <v>6023.38</v>
      </c>
      <c r="F493" s="17"/>
      <c r="G493" s="17">
        <v>1385.88</v>
      </c>
      <c r="H493" s="16"/>
      <c r="I493" s="17">
        <v>6023.38</v>
      </c>
      <c r="J493" s="17"/>
      <c r="K493" s="17">
        <v>1385.88</v>
      </c>
      <c r="L493" s="43"/>
      <c r="M493" s="17">
        <v>6023.38</v>
      </c>
      <c r="N493" s="17"/>
      <c r="O493" s="17">
        <v>1385.88</v>
      </c>
      <c r="P493" s="19">
        <f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220.3</v>
      </c>
      <c r="E494" s="17"/>
      <c r="F494" s="17">
        <v>59.5</v>
      </c>
      <c r="G494" s="17"/>
      <c r="H494" s="16">
        <v>220.3</v>
      </c>
      <c r="I494" s="17"/>
      <c r="J494" s="17">
        <v>59.5</v>
      </c>
      <c r="K494" s="17"/>
      <c r="L494" s="43">
        <v>220.3</v>
      </c>
      <c r="M494" s="17"/>
      <c r="N494" s="17">
        <v>59.5</v>
      </c>
      <c r="O494" s="17"/>
      <c r="P494" s="19"/>
    </row>
    <row r="495" ht="12" customHeight="1" spans="1:16">
      <c r="A495" s="14"/>
      <c r="B495" s="15"/>
      <c r="C495" s="23">
        <v>25</v>
      </c>
      <c r="D495" s="16"/>
      <c r="E495" s="17">
        <v>3495.88</v>
      </c>
      <c r="F495" s="17"/>
      <c r="G495" s="17">
        <v>1085</v>
      </c>
      <c r="H495" s="16"/>
      <c r="I495" s="17">
        <v>3495.88</v>
      </c>
      <c r="J495" s="17"/>
      <c r="K495" s="17">
        <v>1085</v>
      </c>
      <c r="L495" s="43"/>
      <c r="M495" s="17">
        <v>3495.88</v>
      </c>
      <c r="N495" s="17"/>
      <c r="O495" s="17">
        <v>1085</v>
      </c>
      <c r="P495" s="19">
        <f>I495+K495-M495-O495</f>
        <v>0</v>
      </c>
    </row>
    <row r="496" ht="12" customHeight="1" spans="1:16">
      <c r="A496" s="14">
        <v>244</v>
      </c>
      <c r="B496" s="15" t="s">
        <v>259</v>
      </c>
      <c r="C496" s="25"/>
      <c r="D496" s="16">
        <v>59.37</v>
      </c>
      <c r="E496" s="17"/>
      <c r="F496" s="17">
        <v>27.3</v>
      </c>
      <c r="G496" s="17"/>
      <c r="H496" s="16">
        <v>59.37</v>
      </c>
      <c r="I496" s="17"/>
      <c r="J496" s="17">
        <v>27.3</v>
      </c>
      <c r="K496" s="17"/>
      <c r="L496" s="43">
        <v>59.37</v>
      </c>
      <c r="M496" s="17"/>
      <c r="N496" s="17">
        <v>27.3</v>
      </c>
      <c r="O496" s="17"/>
      <c r="P496" s="19"/>
    </row>
    <row r="497" ht="12" customHeight="1" spans="1:16">
      <c r="A497" s="14"/>
      <c r="B497" s="15"/>
      <c r="C497" s="18">
        <v>25</v>
      </c>
      <c r="D497" s="16"/>
      <c r="E497" s="17">
        <v>998.13</v>
      </c>
      <c r="F497" s="17"/>
      <c r="G497" s="17">
        <v>531.5</v>
      </c>
      <c r="H497" s="16"/>
      <c r="I497" s="17">
        <v>998.13</v>
      </c>
      <c r="J497" s="17"/>
      <c r="K497" s="17">
        <v>531.5</v>
      </c>
      <c r="L497" s="43"/>
      <c r="M497" s="17">
        <v>998.13</v>
      </c>
      <c r="N497" s="17"/>
      <c r="O497" s="17">
        <v>531.5</v>
      </c>
      <c r="P497" s="19">
        <f>I497+K497-M497-O497</f>
        <v>0</v>
      </c>
    </row>
    <row r="498" ht="12" customHeight="1" spans="1:16">
      <c r="A498" s="14">
        <v>245</v>
      </c>
      <c r="B498" s="15" t="s">
        <v>260</v>
      </c>
      <c r="C498" s="18"/>
      <c r="D498" s="16">
        <v>20.48</v>
      </c>
      <c r="E498" s="17"/>
      <c r="F498" s="17">
        <v>15.22</v>
      </c>
      <c r="G498" s="17"/>
      <c r="H498" s="16">
        <v>20.48</v>
      </c>
      <c r="I498" s="17"/>
      <c r="J498" s="17">
        <v>15.22</v>
      </c>
      <c r="K498" s="17"/>
      <c r="L498" s="43">
        <v>20.48</v>
      </c>
      <c r="M498" s="17"/>
      <c r="N498" s="17">
        <v>15.22</v>
      </c>
      <c r="O498" s="17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43"/>
      <c r="M499" s="17"/>
      <c r="N499" s="17"/>
      <c r="O499" s="44"/>
      <c r="P499" s="19"/>
    </row>
    <row r="500" ht="27" customHeight="1" spans="1:16">
      <c r="A500" s="27">
        <v>246</v>
      </c>
      <c r="B500" s="28" t="s">
        <v>261</v>
      </c>
      <c r="C500" s="29"/>
      <c r="D500" s="31"/>
      <c r="E500" s="31">
        <f t="shared" ref="E500:J500" si="0">SUM(E10:E499)</f>
        <v>1958822.85999999</v>
      </c>
      <c r="F500" s="31"/>
      <c r="G500" s="31">
        <f t="shared" si="0"/>
        <v>614434.54</v>
      </c>
      <c r="H500" s="31"/>
      <c r="I500" s="31">
        <f t="shared" si="0"/>
        <v>1915032.47999999</v>
      </c>
      <c r="J500" s="31"/>
      <c r="K500" s="31">
        <f>SUM(K10:K499)</f>
        <v>614434.53</v>
      </c>
      <c r="L500" s="30"/>
      <c r="M500" s="31">
        <f>SUM(M10:M499)</f>
        <v>1887455.53999999</v>
      </c>
      <c r="N500" s="30"/>
      <c r="O500" s="31">
        <f>SUM(O10:O499)</f>
        <v>614434.53</v>
      </c>
      <c r="P500" s="31">
        <f>SUM(P10:P499)</f>
        <v>27576.94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45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46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45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46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46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45"/>
      <c r="M506" s="34"/>
      <c r="N506" s="34"/>
      <c r="O506" s="34"/>
      <c r="P506" s="34"/>
    </row>
    <row r="507" ht="14.4" spans="1:16">
      <c r="A507" s="34" t="s">
        <v>285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45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47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48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X503" sqref="X503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286</v>
      </c>
      <c r="E7" s="7"/>
      <c r="F7" s="7"/>
      <c r="G7" s="7"/>
      <c r="H7" s="8" t="s">
        <v>287</v>
      </c>
      <c r="I7" s="7"/>
      <c r="J7" s="7"/>
      <c r="K7" s="7"/>
      <c r="L7" s="8" t="s">
        <v>288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0</v>
      </c>
      <c r="F141" s="17"/>
      <c r="G141" s="17">
        <v>0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0</v>
      </c>
      <c r="E142" s="17"/>
      <c r="F142" s="17">
        <v>0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0</v>
      </c>
      <c r="F143" s="17"/>
      <c r="G143" s="17">
        <v>0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0</v>
      </c>
      <c r="E144" s="17"/>
      <c r="F144" s="17">
        <v>0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0</v>
      </c>
      <c r="F145" s="17"/>
      <c r="G145" s="17">
        <v>0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0</v>
      </c>
      <c r="F147" s="17"/>
      <c r="G147" s="17">
        <v>0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0</v>
      </c>
      <c r="E148" s="17"/>
      <c r="F148" s="17">
        <v>0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0</v>
      </c>
      <c r="F149" s="17"/>
      <c r="G149" s="17">
        <v>0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0</v>
      </c>
      <c r="E150" s="17"/>
      <c r="F150" s="17">
        <v>0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0</v>
      </c>
      <c r="F151" s="17"/>
      <c r="G151" s="17">
        <v>0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0</v>
      </c>
      <c r="E152" s="17"/>
      <c r="F152" s="17">
        <v>0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0</v>
      </c>
      <c r="F153" s="17"/>
      <c r="G153" s="17">
        <v>0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0</v>
      </c>
      <c r="E154" s="17"/>
      <c r="F154" s="17">
        <v>0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0</v>
      </c>
      <c r="F155" s="17"/>
      <c r="G155" s="17">
        <v>0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0</v>
      </c>
      <c r="E156" s="17"/>
      <c r="F156" s="17">
        <v>0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0</v>
      </c>
      <c r="F157" s="17"/>
      <c r="G157" s="17">
        <v>0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0</v>
      </c>
      <c r="E158" s="17"/>
      <c r="F158" s="17">
        <v>0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0</v>
      </c>
      <c r="F159" s="17"/>
      <c r="G159" s="17">
        <v>0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0</v>
      </c>
      <c r="E160" s="17"/>
      <c r="F160" s="17">
        <v>0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0</v>
      </c>
      <c r="F161" s="17"/>
      <c r="G161" s="17">
        <v>0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0</v>
      </c>
      <c r="F197" s="17"/>
      <c r="G197" s="17">
        <v>0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0</v>
      </c>
      <c r="E198" s="17"/>
      <c r="F198" s="17">
        <v>0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0</v>
      </c>
      <c r="F199" s="17"/>
      <c r="G199" s="17">
        <v>0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0</v>
      </c>
      <c r="E200" s="17"/>
      <c r="F200" s="17">
        <v>0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0</v>
      </c>
      <c r="F201" s="17"/>
      <c r="G201" s="17">
        <v>0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0</v>
      </c>
      <c r="F207" s="17"/>
      <c r="G207" s="17">
        <v>0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0</v>
      </c>
      <c r="E208" s="17"/>
      <c r="F208" s="17">
        <v>0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0</v>
      </c>
      <c r="F209" s="17"/>
      <c r="G209" s="17">
        <v>0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0</v>
      </c>
      <c r="E210" s="17"/>
      <c r="F210" s="17">
        <v>0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0</v>
      </c>
      <c r="F211" s="17"/>
      <c r="G211" s="17">
        <v>0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0</v>
      </c>
      <c r="E212" s="17"/>
      <c r="F212" s="17">
        <v>0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0</v>
      </c>
      <c r="F213" s="17"/>
      <c r="G213" s="17">
        <v>0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0</v>
      </c>
      <c r="E214" s="17"/>
      <c r="F214" s="17">
        <v>0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0</v>
      </c>
      <c r="F215" s="17"/>
      <c r="G215" s="17">
        <v>0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0</v>
      </c>
      <c r="E216" s="17"/>
      <c r="F216" s="17">
        <v>0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0</v>
      </c>
      <c r="F217" s="17"/>
      <c r="G217" s="17">
        <v>0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834.65</v>
      </c>
      <c r="F219" s="17"/>
      <c r="G219" s="17">
        <v>206.92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66.77</v>
      </c>
      <c r="E220" s="17"/>
      <c r="F220" s="17">
        <v>16.55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2139.15</v>
      </c>
      <c r="F221" s="17"/>
      <c r="G221" s="17">
        <v>489.78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104.36</v>
      </c>
      <c r="E222" s="17"/>
      <c r="F222" s="17">
        <v>22.63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3171.26</v>
      </c>
      <c r="F223" s="17"/>
      <c r="G223" s="17">
        <v>649.24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149.34</v>
      </c>
      <c r="E224" s="17"/>
      <c r="F224" s="17">
        <v>29.31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3423.87</v>
      </c>
      <c r="F225" s="17"/>
      <c r="G225" s="17">
        <v>720.76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124.57</v>
      </c>
      <c r="E226" s="17"/>
      <c r="F226" s="17">
        <v>28.35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2728.74</v>
      </c>
      <c r="F227" s="17"/>
      <c r="G227" s="17">
        <v>639.87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93.73</v>
      </c>
      <c r="E228" s="17"/>
      <c r="F228" s="17">
        <v>22.84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1171.64</v>
      </c>
      <c r="F229" s="17"/>
      <c r="G229" s="17">
        <v>285.5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0</v>
      </c>
      <c r="F249" s="17"/>
      <c r="G249" s="17">
        <v>0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0</v>
      </c>
      <c r="E250" s="17"/>
      <c r="F250" s="17">
        <v>0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0</v>
      </c>
      <c r="F251" s="17"/>
      <c r="G251" s="17">
        <v>0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0</v>
      </c>
      <c r="E252" s="17"/>
      <c r="F252" s="17">
        <v>0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0</v>
      </c>
      <c r="F253" s="17"/>
      <c r="G253" s="17">
        <v>0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0</v>
      </c>
      <c r="E254" s="17"/>
      <c r="F254" s="17">
        <v>0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0</v>
      </c>
      <c r="F255" s="17"/>
      <c r="G255" s="17">
        <v>0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0</v>
      </c>
      <c r="E256" s="17"/>
      <c r="F256" s="17">
        <v>0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0</v>
      </c>
      <c r="F257" s="17"/>
      <c r="G257" s="17">
        <v>0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0</v>
      </c>
      <c r="E258" s="17"/>
      <c r="F258" s="17">
        <v>0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0</v>
      </c>
      <c r="F259" s="17"/>
      <c r="G259" s="17">
        <v>0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0</v>
      </c>
      <c r="E260" s="17"/>
      <c r="F260" s="17">
        <v>0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0</v>
      </c>
      <c r="F261" s="17"/>
      <c r="G261" s="17">
        <v>0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0</v>
      </c>
      <c r="E262" s="17"/>
      <c r="F262" s="17">
        <v>0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0</v>
      </c>
      <c r="F263" s="17"/>
      <c r="G263" s="17">
        <v>0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0</v>
      </c>
      <c r="E264" s="17"/>
      <c r="F264" s="17">
        <v>0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0</v>
      </c>
      <c r="F265" s="17"/>
      <c r="G265" s="17">
        <v>0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0</v>
      </c>
      <c r="E266" s="17"/>
      <c r="F266" s="17">
        <v>0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0</v>
      </c>
      <c r="F267" s="17"/>
      <c r="G267" s="17">
        <v>0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0</v>
      </c>
      <c r="E268" s="17"/>
      <c r="F268" s="17">
        <v>0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0</v>
      </c>
      <c r="F269" s="17"/>
      <c r="G269" s="17">
        <v>0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0</v>
      </c>
      <c r="E270" s="17"/>
      <c r="F270" s="17">
        <v>0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0</v>
      </c>
      <c r="F271" s="17"/>
      <c r="G271" s="17">
        <v>0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0</v>
      </c>
      <c r="E272" s="17"/>
      <c r="F272" s="17">
        <v>0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0</v>
      </c>
      <c r="F273" s="17"/>
      <c r="G273" s="17">
        <v>0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0</v>
      </c>
      <c r="E274" s="17"/>
      <c r="F274" s="17">
        <v>0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0</v>
      </c>
      <c r="F275" s="17"/>
      <c r="G275" s="17">
        <v>0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0</v>
      </c>
      <c r="E276" s="17"/>
      <c r="F276" s="17">
        <v>0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0</v>
      </c>
      <c r="F277" s="17"/>
      <c r="G277" s="17">
        <v>0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0</v>
      </c>
      <c r="E278" s="17"/>
      <c r="F278" s="17">
        <v>0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0</v>
      </c>
      <c r="F279" s="17"/>
      <c r="G279" s="17">
        <v>0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0</v>
      </c>
      <c r="E280" s="17"/>
      <c r="F280" s="17">
        <v>0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0</v>
      </c>
      <c r="F281" s="17"/>
      <c r="G281" s="17">
        <v>0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0</v>
      </c>
      <c r="E282" s="17"/>
      <c r="F282" s="17">
        <v>0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0</v>
      </c>
      <c r="F283" s="17"/>
      <c r="G283" s="17">
        <v>0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0</v>
      </c>
      <c r="E284" s="17"/>
      <c r="F284" s="17">
        <v>0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0</v>
      </c>
      <c r="F285" s="17"/>
      <c r="G285" s="17">
        <v>0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0</v>
      </c>
      <c r="F291" s="17"/>
      <c r="G291" s="17">
        <v>0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0</v>
      </c>
      <c r="E292" s="17"/>
      <c r="F292" s="17">
        <v>0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0</v>
      </c>
      <c r="F293" s="17"/>
      <c r="G293" s="17">
        <v>0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0</v>
      </c>
      <c r="E294" s="17"/>
      <c r="F294" s="17">
        <v>0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0</v>
      </c>
      <c r="F295" s="17"/>
      <c r="G295" s="17">
        <v>0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0</v>
      </c>
      <c r="E296" s="17"/>
      <c r="F296" s="17">
        <v>0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0</v>
      </c>
      <c r="F297" s="17"/>
      <c r="G297" s="17">
        <v>0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0</v>
      </c>
      <c r="E298" s="17"/>
      <c r="F298" s="17">
        <v>0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0</v>
      </c>
      <c r="F299" s="17"/>
      <c r="G299" s="17">
        <v>0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0</v>
      </c>
      <c r="E300" s="17"/>
      <c r="F300" s="17">
        <v>0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0</v>
      </c>
      <c r="F301" s="17"/>
      <c r="G301" s="17">
        <v>0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0</v>
      </c>
      <c r="E302" s="17"/>
      <c r="F302" s="17">
        <v>0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0</v>
      </c>
      <c r="F303" s="17"/>
      <c r="G303" s="17">
        <v>0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0</v>
      </c>
      <c r="F389" s="17"/>
      <c r="G389" s="17">
        <v>0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0</v>
      </c>
      <c r="F391" s="17"/>
      <c r="G391" s="17">
        <v>0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0</v>
      </c>
      <c r="E392" s="17"/>
      <c r="F392" s="17">
        <v>0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0</v>
      </c>
      <c r="F393" s="17"/>
      <c r="G393" s="17">
        <v>0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0</v>
      </c>
      <c r="F407" s="17"/>
      <c r="G407" s="17">
        <v>0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0</v>
      </c>
      <c r="E408" s="17"/>
      <c r="F408" s="17">
        <v>0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0</v>
      </c>
      <c r="F409" s="17"/>
      <c r="G409" s="17">
        <v>0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0</v>
      </c>
      <c r="E410" s="17"/>
      <c r="F410" s="17">
        <v>0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0</v>
      </c>
      <c r="F411" s="17"/>
      <c r="G411" s="17">
        <v>0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0</v>
      </c>
      <c r="E412" s="17"/>
      <c r="F412" s="17">
        <v>0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0</v>
      </c>
      <c r="F413" s="17"/>
      <c r="G413" s="17">
        <v>0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0</v>
      </c>
      <c r="E414" s="17"/>
      <c r="F414" s="17">
        <v>0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0</v>
      </c>
      <c r="F415" s="17"/>
      <c r="G415" s="17">
        <v>0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0</v>
      </c>
      <c r="E416" s="17"/>
      <c r="F416" s="17">
        <v>0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0</v>
      </c>
      <c r="F417" s="17"/>
      <c r="G417" s="17">
        <v>0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0</v>
      </c>
      <c r="E418" s="17"/>
      <c r="F418" s="17">
        <v>0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0</v>
      </c>
      <c r="F419" s="17"/>
      <c r="G419" s="17">
        <v>0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0</v>
      </c>
      <c r="E420" s="17"/>
      <c r="F420" s="17">
        <v>0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0</v>
      </c>
      <c r="F421" s="17"/>
      <c r="G421" s="17">
        <v>0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0</v>
      </c>
      <c r="E422" s="17"/>
      <c r="F422" s="17">
        <v>0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0</v>
      </c>
      <c r="F423" s="17"/>
      <c r="G423" s="17">
        <v>0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0</v>
      </c>
      <c r="F425" s="17"/>
      <c r="G425" s="17">
        <v>0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0</v>
      </c>
      <c r="E426" s="17"/>
      <c r="F426" s="17">
        <v>0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0</v>
      </c>
      <c r="F427" s="17"/>
      <c r="G427" s="17">
        <v>0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0</v>
      </c>
      <c r="E428" s="17"/>
      <c r="F428" s="17">
        <v>0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0</v>
      </c>
      <c r="F429" s="17"/>
      <c r="G429" s="17">
        <v>0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0</v>
      </c>
      <c r="F443" s="17"/>
      <c r="G443" s="17">
        <v>0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0</v>
      </c>
      <c r="E444" s="17"/>
      <c r="F444" s="17">
        <v>0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0</v>
      </c>
      <c r="F445" s="17"/>
      <c r="G445" s="17">
        <v>0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0</v>
      </c>
      <c r="E446" s="17"/>
      <c r="F446" s="17">
        <v>0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0</v>
      </c>
      <c r="F447" s="17"/>
      <c r="G447" s="17">
        <v>0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0</v>
      </c>
      <c r="F461" s="17"/>
      <c r="G461" s="17">
        <v>0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0</v>
      </c>
      <c r="E462" s="17"/>
      <c r="F462" s="17">
        <v>0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0</v>
      </c>
      <c r="F463" s="17"/>
      <c r="G463" s="17">
        <v>0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0</v>
      </c>
      <c r="F477" s="17"/>
      <c r="G477" s="17">
        <v>0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0</v>
      </c>
      <c r="E478" s="17"/>
      <c r="F478" s="17">
        <v>0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0</v>
      </c>
      <c r="F479" s="17"/>
      <c r="G479" s="17">
        <v>0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0</v>
      </c>
      <c r="E480" s="17"/>
      <c r="F480" s="17">
        <v>0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0</v>
      </c>
      <c r="F481" s="17"/>
      <c r="G481" s="24">
        <v>0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0</v>
      </c>
      <c r="E482" s="26"/>
      <c r="F482" s="17">
        <v>0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0</v>
      </c>
      <c r="F483" s="17"/>
      <c r="G483" s="17">
        <v>0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0</v>
      </c>
      <c r="E484" s="17"/>
      <c r="F484" s="17">
        <v>0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0</v>
      </c>
      <c r="F485" s="17"/>
      <c r="G485" s="17">
        <v>0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0</v>
      </c>
      <c r="E486" s="17"/>
      <c r="F486" s="17">
        <v>0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0</v>
      </c>
      <c r="F487" s="17"/>
      <c r="G487" s="17">
        <v>0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0</v>
      </c>
      <c r="E488" s="17"/>
      <c r="F488" s="17">
        <v>0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0</v>
      </c>
      <c r="F489" s="17"/>
      <c r="G489" s="17">
        <v>0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0</v>
      </c>
      <c r="E490" s="17"/>
      <c r="F490" s="17">
        <v>0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0</v>
      </c>
      <c r="F491" s="17"/>
      <c r="G491" s="17">
        <v>0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0</v>
      </c>
      <c r="E492" s="17"/>
      <c r="F492" s="17">
        <v>0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0</v>
      </c>
      <c r="F493" s="17"/>
      <c r="G493" s="17">
        <v>0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0</v>
      </c>
      <c r="E494" s="17"/>
      <c r="F494" s="17">
        <v>0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0</v>
      </c>
      <c r="F495" s="17"/>
      <c r="G495" s="17">
        <v>0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0</v>
      </c>
      <c r="E496" s="17"/>
      <c r="F496" s="17">
        <v>0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0</v>
      </c>
      <c r="F497" s="17"/>
      <c r="G497" s="17">
        <v>0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13469.31</v>
      </c>
      <c r="F500" s="30"/>
      <c r="G500" s="31">
        <f t="shared" si="81"/>
        <v>2992.07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D500" sqref="D500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290</v>
      </c>
      <c r="E7" s="7"/>
      <c r="F7" s="7"/>
      <c r="G7" s="7"/>
      <c r="H7" s="8" t="s">
        <v>291</v>
      </c>
      <c r="I7" s="7"/>
      <c r="J7" s="7"/>
      <c r="K7" s="7"/>
      <c r="L7" s="8" t="s">
        <v>292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54</v>
      </c>
      <c r="E10" s="13"/>
      <c r="F10" s="17">
        <v>19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1391.92</v>
      </c>
      <c r="F11" s="17"/>
      <c r="G11" s="17">
        <v>392.45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57.35</v>
      </c>
      <c r="E12" s="17"/>
      <c r="F12" s="17">
        <v>12.39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1027.73</v>
      </c>
      <c r="F13" s="17"/>
      <c r="G13" s="17">
        <v>202.54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24.87</v>
      </c>
      <c r="E14" s="17"/>
      <c r="F14" s="17">
        <v>3.81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393.54</v>
      </c>
      <c r="F15" s="17"/>
      <c r="G15" s="17">
        <v>68.23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6.62</v>
      </c>
      <c r="E16" s="17"/>
      <c r="F16" s="17">
        <v>1.65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82.71</v>
      </c>
      <c r="F17" s="17"/>
      <c r="G17" s="17">
        <v>20.61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0</v>
      </c>
      <c r="F141" s="17"/>
      <c r="G141" s="17">
        <v>0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0</v>
      </c>
      <c r="E142" s="17"/>
      <c r="F142" s="17">
        <v>0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0</v>
      </c>
      <c r="F143" s="17"/>
      <c r="G143" s="17">
        <v>0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0</v>
      </c>
      <c r="E144" s="17"/>
      <c r="F144" s="17">
        <v>0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0</v>
      </c>
      <c r="F145" s="17"/>
      <c r="G145" s="17">
        <v>0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0</v>
      </c>
      <c r="F147" s="17"/>
      <c r="G147" s="17">
        <v>0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0</v>
      </c>
      <c r="E148" s="17"/>
      <c r="F148" s="17">
        <v>0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0</v>
      </c>
      <c r="F149" s="17"/>
      <c r="G149" s="17">
        <v>0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0</v>
      </c>
      <c r="E150" s="17"/>
      <c r="F150" s="17">
        <v>0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0</v>
      </c>
      <c r="F151" s="17"/>
      <c r="G151" s="17">
        <v>0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0</v>
      </c>
      <c r="E152" s="17"/>
      <c r="F152" s="17">
        <v>0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0</v>
      </c>
      <c r="F153" s="17"/>
      <c r="G153" s="17">
        <v>0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0</v>
      </c>
      <c r="E154" s="17"/>
      <c r="F154" s="17">
        <v>0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0</v>
      </c>
      <c r="F155" s="17"/>
      <c r="G155" s="17">
        <v>0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0</v>
      </c>
      <c r="E156" s="17"/>
      <c r="F156" s="17">
        <v>0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0</v>
      </c>
      <c r="F157" s="17"/>
      <c r="G157" s="17">
        <v>0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0</v>
      </c>
      <c r="E158" s="17"/>
      <c r="F158" s="17">
        <v>0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0</v>
      </c>
      <c r="F159" s="17"/>
      <c r="G159" s="17">
        <v>0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0</v>
      </c>
      <c r="E160" s="17"/>
      <c r="F160" s="17">
        <v>0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0</v>
      </c>
      <c r="F161" s="17"/>
      <c r="G161" s="17">
        <v>0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0</v>
      </c>
      <c r="F197" s="17"/>
      <c r="G197" s="17">
        <v>0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0</v>
      </c>
      <c r="E198" s="17"/>
      <c r="F198" s="17">
        <v>0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0</v>
      </c>
      <c r="F199" s="17"/>
      <c r="G199" s="17">
        <v>0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0</v>
      </c>
      <c r="E200" s="17"/>
      <c r="F200" s="17">
        <v>0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0</v>
      </c>
      <c r="F201" s="17"/>
      <c r="G201" s="17">
        <v>0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0</v>
      </c>
      <c r="F207" s="17"/>
      <c r="G207" s="17">
        <v>0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0</v>
      </c>
      <c r="E208" s="17"/>
      <c r="F208" s="17">
        <v>0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0</v>
      </c>
      <c r="F209" s="17"/>
      <c r="G209" s="17">
        <v>0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0</v>
      </c>
      <c r="E210" s="17"/>
      <c r="F210" s="17">
        <v>0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0</v>
      </c>
      <c r="F211" s="17"/>
      <c r="G211" s="17">
        <v>0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0</v>
      </c>
      <c r="E212" s="17"/>
      <c r="F212" s="17">
        <v>0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0</v>
      </c>
      <c r="F213" s="17"/>
      <c r="G213" s="17">
        <v>0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0</v>
      </c>
      <c r="E214" s="17"/>
      <c r="F214" s="17">
        <v>0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0</v>
      </c>
      <c r="F215" s="17"/>
      <c r="G215" s="17">
        <v>0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0</v>
      </c>
      <c r="E216" s="17"/>
      <c r="F216" s="17">
        <v>0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0</v>
      </c>
      <c r="F217" s="17"/>
      <c r="G217" s="17">
        <v>0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0</v>
      </c>
      <c r="F219" s="17"/>
      <c r="G219" s="17">
        <v>0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0</v>
      </c>
      <c r="E220" s="17"/>
      <c r="F220" s="17">
        <v>0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0</v>
      </c>
      <c r="F221" s="17"/>
      <c r="G221" s="17">
        <v>0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0</v>
      </c>
      <c r="E222" s="17"/>
      <c r="F222" s="17">
        <v>0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0</v>
      </c>
      <c r="F223" s="17"/>
      <c r="G223" s="17">
        <v>0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0</v>
      </c>
      <c r="E224" s="17"/>
      <c r="F224" s="17">
        <v>0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0</v>
      </c>
      <c r="F225" s="17"/>
      <c r="G225" s="17">
        <v>0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0</v>
      </c>
      <c r="F249" s="17"/>
      <c r="G249" s="17">
        <v>0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0</v>
      </c>
      <c r="E250" s="17"/>
      <c r="F250" s="17">
        <v>0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0</v>
      </c>
      <c r="F251" s="17"/>
      <c r="G251" s="17">
        <v>0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0</v>
      </c>
      <c r="E252" s="17"/>
      <c r="F252" s="17">
        <v>0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0</v>
      </c>
      <c r="F253" s="17"/>
      <c r="G253" s="17">
        <v>0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0</v>
      </c>
      <c r="E254" s="17"/>
      <c r="F254" s="17">
        <v>0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0</v>
      </c>
      <c r="F255" s="17"/>
      <c r="G255" s="17">
        <v>0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0</v>
      </c>
      <c r="E256" s="17"/>
      <c r="F256" s="17">
        <v>0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0</v>
      </c>
      <c r="F257" s="17"/>
      <c r="G257" s="17">
        <v>0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0</v>
      </c>
      <c r="E258" s="17"/>
      <c r="F258" s="17">
        <v>0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0</v>
      </c>
      <c r="F259" s="17"/>
      <c r="G259" s="17">
        <v>0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0</v>
      </c>
      <c r="E260" s="17"/>
      <c r="F260" s="17">
        <v>0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0</v>
      </c>
      <c r="F261" s="17"/>
      <c r="G261" s="17">
        <v>0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0</v>
      </c>
      <c r="E262" s="17"/>
      <c r="F262" s="17">
        <v>0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0</v>
      </c>
      <c r="F263" s="17"/>
      <c r="G263" s="17">
        <v>0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0</v>
      </c>
      <c r="E264" s="17"/>
      <c r="F264" s="17">
        <v>0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0</v>
      </c>
      <c r="F265" s="17"/>
      <c r="G265" s="17">
        <v>0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0</v>
      </c>
      <c r="E266" s="17"/>
      <c r="F266" s="17">
        <v>0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0</v>
      </c>
      <c r="F267" s="17"/>
      <c r="G267" s="17">
        <v>0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0</v>
      </c>
      <c r="E268" s="17"/>
      <c r="F268" s="17">
        <v>0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0</v>
      </c>
      <c r="F269" s="17"/>
      <c r="G269" s="17">
        <v>0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0</v>
      </c>
      <c r="E270" s="17"/>
      <c r="F270" s="17">
        <v>0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0</v>
      </c>
      <c r="F271" s="17"/>
      <c r="G271" s="17">
        <v>0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0</v>
      </c>
      <c r="E272" s="17"/>
      <c r="F272" s="17">
        <v>0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0</v>
      </c>
      <c r="F273" s="17"/>
      <c r="G273" s="17">
        <v>0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0</v>
      </c>
      <c r="E274" s="17"/>
      <c r="F274" s="17">
        <v>0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0</v>
      </c>
      <c r="F275" s="17"/>
      <c r="G275" s="17">
        <v>0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0</v>
      </c>
      <c r="E276" s="17"/>
      <c r="F276" s="17">
        <v>0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0</v>
      </c>
      <c r="F277" s="17"/>
      <c r="G277" s="17">
        <v>0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0</v>
      </c>
      <c r="E278" s="17"/>
      <c r="F278" s="17">
        <v>0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0</v>
      </c>
      <c r="F279" s="17"/>
      <c r="G279" s="17">
        <v>0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0</v>
      </c>
      <c r="E280" s="17"/>
      <c r="F280" s="17">
        <v>0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0</v>
      </c>
      <c r="F281" s="17"/>
      <c r="G281" s="17">
        <v>0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0</v>
      </c>
      <c r="E282" s="17"/>
      <c r="F282" s="17">
        <v>0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0</v>
      </c>
      <c r="F283" s="17"/>
      <c r="G283" s="17">
        <v>0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0</v>
      </c>
      <c r="E284" s="17"/>
      <c r="F284" s="17">
        <v>0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0</v>
      </c>
      <c r="F285" s="17"/>
      <c r="G285" s="17">
        <v>0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0</v>
      </c>
      <c r="F291" s="17"/>
      <c r="G291" s="17">
        <v>0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0</v>
      </c>
      <c r="E292" s="17"/>
      <c r="F292" s="17">
        <v>0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0</v>
      </c>
      <c r="F293" s="17"/>
      <c r="G293" s="17">
        <v>0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0</v>
      </c>
      <c r="E294" s="17"/>
      <c r="F294" s="17">
        <v>0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0</v>
      </c>
      <c r="F295" s="17"/>
      <c r="G295" s="17">
        <v>0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0</v>
      </c>
      <c r="E296" s="17"/>
      <c r="F296" s="17">
        <v>0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0</v>
      </c>
      <c r="F297" s="17"/>
      <c r="G297" s="17">
        <v>0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0</v>
      </c>
      <c r="E298" s="17"/>
      <c r="F298" s="17">
        <v>0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0</v>
      </c>
      <c r="F299" s="17"/>
      <c r="G299" s="17">
        <v>0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0</v>
      </c>
      <c r="E300" s="17"/>
      <c r="F300" s="17">
        <v>0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0</v>
      </c>
      <c r="F301" s="17"/>
      <c r="G301" s="17">
        <v>0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0</v>
      </c>
      <c r="E302" s="17"/>
      <c r="F302" s="17">
        <v>0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0</v>
      </c>
      <c r="F303" s="17"/>
      <c r="G303" s="17">
        <v>0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0</v>
      </c>
      <c r="F389" s="17"/>
      <c r="G389" s="17">
        <v>0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0</v>
      </c>
      <c r="F391" s="17"/>
      <c r="G391" s="17">
        <v>0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0</v>
      </c>
      <c r="E392" s="17"/>
      <c r="F392" s="17">
        <v>0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0</v>
      </c>
      <c r="F393" s="17"/>
      <c r="G393" s="17">
        <v>0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0</v>
      </c>
      <c r="F407" s="17"/>
      <c r="G407" s="17">
        <v>0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0</v>
      </c>
      <c r="E408" s="17"/>
      <c r="F408" s="17">
        <v>0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0</v>
      </c>
      <c r="F409" s="17"/>
      <c r="G409" s="17">
        <v>0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0</v>
      </c>
      <c r="E410" s="17"/>
      <c r="F410" s="17">
        <v>0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0</v>
      </c>
      <c r="F411" s="17"/>
      <c r="G411" s="17">
        <v>0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0</v>
      </c>
      <c r="E412" s="17"/>
      <c r="F412" s="17">
        <v>0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0</v>
      </c>
      <c r="F413" s="17"/>
      <c r="G413" s="17">
        <v>0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0</v>
      </c>
      <c r="E414" s="17"/>
      <c r="F414" s="17">
        <v>0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0</v>
      </c>
      <c r="F415" s="17"/>
      <c r="G415" s="17">
        <v>0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0</v>
      </c>
      <c r="E416" s="17"/>
      <c r="F416" s="17">
        <v>0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0</v>
      </c>
      <c r="F417" s="17"/>
      <c r="G417" s="17">
        <v>0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0</v>
      </c>
      <c r="E418" s="17"/>
      <c r="F418" s="17">
        <v>0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0</v>
      </c>
      <c r="F419" s="17"/>
      <c r="G419" s="17">
        <v>0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0</v>
      </c>
      <c r="E420" s="17"/>
      <c r="F420" s="17">
        <v>0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0</v>
      </c>
      <c r="F421" s="17"/>
      <c r="G421" s="17">
        <v>0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0</v>
      </c>
      <c r="E422" s="17"/>
      <c r="F422" s="17">
        <v>0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0</v>
      </c>
      <c r="F423" s="17"/>
      <c r="G423" s="17">
        <v>0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0</v>
      </c>
      <c r="F425" s="17"/>
      <c r="G425" s="17">
        <v>0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0</v>
      </c>
      <c r="E426" s="17"/>
      <c r="F426" s="17">
        <v>0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0</v>
      </c>
      <c r="F427" s="17"/>
      <c r="G427" s="17">
        <v>0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0</v>
      </c>
      <c r="E428" s="17"/>
      <c r="F428" s="17">
        <v>0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0</v>
      </c>
      <c r="F429" s="17"/>
      <c r="G429" s="17">
        <v>0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0</v>
      </c>
      <c r="F443" s="17"/>
      <c r="G443" s="17">
        <v>0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0</v>
      </c>
      <c r="E444" s="17"/>
      <c r="F444" s="17">
        <v>0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0</v>
      </c>
      <c r="F445" s="17"/>
      <c r="G445" s="17">
        <v>0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0</v>
      </c>
      <c r="E446" s="17"/>
      <c r="F446" s="17">
        <v>0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0</v>
      </c>
      <c r="F447" s="17"/>
      <c r="G447" s="17">
        <v>0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0</v>
      </c>
      <c r="F461" s="17"/>
      <c r="G461" s="17">
        <v>0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0</v>
      </c>
      <c r="E462" s="17"/>
      <c r="F462" s="17">
        <v>0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0</v>
      </c>
      <c r="F463" s="17"/>
      <c r="G463" s="17">
        <v>0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0</v>
      </c>
      <c r="F477" s="17"/>
      <c r="G477" s="17">
        <v>0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0</v>
      </c>
      <c r="E478" s="17"/>
      <c r="F478" s="17">
        <v>0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848.88</v>
      </c>
      <c r="F479" s="17"/>
      <c r="G479" s="17">
        <v>549.5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67.91</v>
      </c>
      <c r="E480" s="17"/>
      <c r="F480" s="17">
        <v>43.96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5096.63</v>
      </c>
      <c r="F481" s="17"/>
      <c r="G481" s="24">
        <v>1512.88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339.82</v>
      </c>
      <c r="E482" s="26"/>
      <c r="F482" s="17">
        <v>77.07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7226.25</v>
      </c>
      <c r="F483" s="17"/>
      <c r="G483" s="17">
        <v>1876.25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238.28</v>
      </c>
      <c r="E484" s="17"/>
      <c r="F484" s="17">
        <v>73.03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6669.88</v>
      </c>
      <c r="F485" s="17"/>
      <c r="G485" s="17">
        <v>1949.5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295.31</v>
      </c>
      <c r="E486" s="17"/>
      <c r="F486" s="17">
        <v>82.93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7029.75</v>
      </c>
      <c r="F487" s="17"/>
      <c r="G487" s="17">
        <v>2076.88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267.07</v>
      </c>
      <c r="E488" s="17"/>
      <c r="F488" s="17">
        <v>83.22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7615</v>
      </c>
      <c r="F489" s="17"/>
      <c r="G489" s="17">
        <v>2215.13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342.13</v>
      </c>
      <c r="E490" s="17"/>
      <c r="F490" s="17">
        <v>93.99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8872.38</v>
      </c>
      <c r="F491" s="17"/>
      <c r="G491" s="17">
        <v>2284.63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367.66</v>
      </c>
      <c r="E492" s="17"/>
      <c r="F492" s="17">
        <v>88.78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8517.75</v>
      </c>
      <c r="F493" s="17"/>
      <c r="G493" s="17">
        <v>2176.5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313.76</v>
      </c>
      <c r="E494" s="17"/>
      <c r="F494" s="17">
        <v>85.34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6950.38</v>
      </c>
      <c r="F495" s="17"/>
      <c r="G495" s="17">
        <v>1861.75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242.27</v>
      </c>
      <c r="E496" s="17"/>
      <c r="F496" s="17">
        <v>63.6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4986.88</v>
      </c>
      <c r="F497" s="17"/>
      <c r="G497" s="17">
        <v>820.63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156.68</v>
      </c>
      <c r="E498" s="17"/>
      <c r="F498" s="17">
        <v>2.05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66709.68</v>
      </c>
      <c r="F500" s="30"/>
      <c r="G500" s="31">
        <f t="shared" si="81"/>
        <v>18007.48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Z491" sqref="Z491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293</v>
      </c>
      <c r="E7" s="7"/>
      <c r="F7" s="7"/>
      <c r="G7" s="7"/>
      <c r="H7" s="8" t="s">
        <v>294</v>
      </c>
      <c r="I7" s="7"/>
      <c r="J7" s="7"/>
      <c r="K7" s="7"/>
      <c r="L7" s="8" t="s">
        <v>295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3.94</v>
      </c>
      <c r="E10" s="13"/>
      <c r="F10" s="17">
        <v>28.71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193.63</v>
      </c>
      <c r="F11" s="17"/>
      <c r="G11" s="17">
        <v>875.32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11.55</v>
      </c>
      <c r="E12" s="17"/>
      <c r="F12" s="17">
        <v>41.31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353.43</v>
      </c>
      <c r="F13" s="17"/>
      <c r="G13" s="17">
        <v>1025.46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16.73</v>
      </c>
      <c r="E14" s="17"/>
      <c r="F14" s="17">
        <v>40.73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379.51</v>
      </c>
      <c r="F15" s="17"/>
      <c r="G15" s="17">
        <v>723.58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13.63</v>
      </c>
      <c r="E16" s="17"/>
      <c r="F16" s="17">
        <v>17.16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471.51</v>
      </c>
      <c r="F17" s="17"/>
      <c r="G17" s="17">
        <v>381.02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24.09</v>
      </c>
      <c r="E18" s="17"/>
      <c r="F18" s="17">
        <v>13.32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312.21</v>
      </c>
      <c r="F19" s="17"/>
      <c r="G19" s="17">
        <v>340.86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0.89</v>
      </c>
      <c r="E20" s="17"/>
      <c r="F20" s="17">
        <v>13.95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311.86</v>
      </c>
      <c r="F21" s="17"/>
      <c r="G21" s="17">
        <v>584.84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24.06</v>
      </c>
      <c r="E22" s="17"/>
      <c r="F22" s="17">
        <v>32.84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751.52</v>
      </c>
      <c r="F23" s="17"/>
      <c r="G23" s="17">
        <v>980.05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36.06</v>
      </c>
      <c r="E24" s="17"/>
      <c r="F24" s="17">
        <v>45.56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450.77</v>
      </c>
      <c r="F25" s="17"/>
      <c r="G25" s="17">
        <v>569.56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51.76</v>
      </c>
      <c r="F113" s="17"/>
      <c r="G113" s="17">
        <v>421.39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4.14</v>
      </c>
      <c r="E114" s="17"/>
      <c r="F114" s="17">
        <v>33.71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511.38</v>
      </c>
      <c r="F115" s="17"/>
      <c r="G115" s="17">
        <v>967.57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36.77</v>
      </c>
      <c r="E116" s="17"/>
      <c r="F116" s="17">
        <v>43.69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540.53</v>
      </c>
      <c r="F117" s="17"/>
      <c r="G117" s="17">
        <v>1030.48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6.47</v>
      </c>
      <c r="E118" s="17"/>
      <c r="F118" s="17">
        <v>38.74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80.91</v>
      </c>
      <c r="F119" s="17"/>
      <c r="G119" s="17">
        <v>484.29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1144.46</v>
      </c>
      <c r="F141" s="17"/>
      <c r="G141" s="17">
        <v>59.37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91.56</v>
      </c>
      <c r="E142" s="17"/>
      <c r="F142" s="17">
        <v>4.75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1527.5</v>
      </c>
      <c r="F143" s="17"/>
      <c r="G143" s="17">
        <v>562.01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30.64</v>
      </c>
      <c r="E144" s="17"/>
      <c r="F144" s="17">
        <v>40.21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1473.59</v>
      </c>
      <c r="F145" s="17"/>
      <c r="G145" s="17">
        <v>920.78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87.24</v>
      </c>
      <c r="E146" s="17"/>
      <c r="F146" s="17">
        <v>33.45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1984.01</v>
      </c>
      <c r="F147" s="17"/>
      <c r="G147" s="17">
        <v>995.86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71.48</v>
      </c>
      <c r="E148" s="17"/>
      <c r="F148" s="17">
        <v>46.22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1637.24</v>
      </c>
      <c r="F149" s="17"/>
      <c r="G149" s="17">
        <v>1125.13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59.5</v>
      </c>
      <c r="E150" s="17"/>
      <c r="F150" s="17">
        <v>43.79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1272.38</v>
      </c>
      <c r="F151" s="17"/>
      <c r="G151" s="17">
        <v>1034.69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42.29</v>
      </c>
      <c r="E152" s="17"/>
      <c r="F152" s="17">
        <v>38.98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898.99</v>
      </c>
      <c r="F153" s="17"/>
      <c r="G153" s="17">
        <v>945.37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29.63</v>
      </c>
      <c r="E154" s="17"/>
      <c r="F154" s="17">
        <v>36.65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645.88</v>
      </c>
      <c r="F155" s="17"/>
      <c r="G155" s="17">
        <v>851.91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22.04</v>
      </c>
      <c r="E156" s="17"/>
      <c r="F156" s="17">
        <v>31.5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552.27</v>
      </c>
      <c r="F157" s="17"/>
      <c r="G157" s="17">
        <v>697.78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22.14</v>
      </c>
      <c r="E158" s="17"/>
      <c r="F158" s="17">
        <v>24.32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352.84</v>
      </c>
      <c r="F159" s="17"/>
      <c r="G159" s="17">
        <v>325.71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6.08</v>
      </c>
      <c r="E160" s="17"/>
      <c r="F160" s="17">
        <v>1.74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76.06</v>
      </c>
      <c r="F161" s="17"/>
      <c r="G161" s="17">
        <v>21.75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223.73</v>
      </c>
      <c r="F173" s="17"/>
      <c r="G173" s="17">
        <v>0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17.9</v>
      </c>
      <c r="E174" s="17"/>
      <c r="F174" s="17">
        <v>0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970.67</v>
      </c>
      <c r="F175" s="17"/>
      <c r="G175" s="17">
        <v>0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59.76</v>
      </c>
      <c r="E176" s="17"/>
      <c r="F176" s="17">
        <v>0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1771.85</v>
      </c>
      <c r="F177" s="17"/>
      <c r="G177" s="17">
        <v>0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81.99</v>
      </c>
      <c r="E178" s="17"/>
      <c r="F178" s="17">
        <v>0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3157.39</v>
      </c>
      <c r="F179" s="17"/>
      <c r="G179" s="17">
        <v>0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170.6</v>
      </c>
      <c r="E180" s="17"/>
      <c r="F180" s="17">
        <v>0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5659.29</v>
      </c>
      <c r="F181" s="17"/>
      <c r="G181" s="17">
        <v>0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282.14</v>
      </c>
      <c r="E182" s="17"/>
      <c r="F182" s="17">
        <v>0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8464.93</v>
      </c>
      <c r="F183" s="17"/>
      <c r="G183" s="17">
        <v>190.66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395.05</v>
      </c>
      <c r="E184" s="17"/>
      <c r="F184" s="17">
        <v>15.25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9409.88</v>
      </c>
      <c r="F185" s="17"/>
      <c r="G185" s="17">
        <v>990.52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357.74</v>
      </c>
      <c r="E186" s="17"/>
      <c r="F186" s="17">
        <v>63.99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8684.74</v>
      </c>
      <c r="F187" s="17"/>
      <c r="G187" s="17">
        <v>1632.53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337.04</v>
      </c>
      <c r="E188" s="17"/>
      <c r="F188" s="17">
        <v>66.61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8789.59</v>
      </c>
      <c r="F189" s="17"/>
      <c r="G189" s="17">
        <v>1901.24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366.13</v>
      </c>
      <c r="E190" s="17"/>
      <c r="F190" s="17">
        <v>85.48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9850.36</v>
      </c>
      <c r="F191" s="17"/>
      <c r="G191" s="17">
        <v>2306.85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421.9</v>
      </c>
      <c r="E192" s="17"/>
      <c r="F192" s="17">
        <v>99.06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10982.23</v>
      </c>
      <c r="F193" s="17"/>
      <c r="G193" s="17">
        <v>2614.46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456.68</v>
      </c>
      <c r="E194" s="17"/>
      <c r="F194" s="17">
        <v>110.09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13177.25</v>
      </c>
      <c r="F195" s="17"/>
      <c r="G195" s="17">
        <v>2714.75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597.5</v>
      </c>
      <c r="E196" s="17"/>
      <c r="F196" s="17">
        <v>107.09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14631.5</v>
      </c>
      <c r="F197" s="17"/>
      <c r="G197" s="17">
        <v>2125.75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573.02</v>
      </c>
      <c r="E198" s="17"/>
      <c r="F198" s="17">
        <v>62.97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13885.86</v>
      </c>
      <c r="F199" s="17"/>
      <c r="G199" s="17">
        <v>1148.54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537.85</v>
      </c>
      <c r="E200" s="17"/>
      <c r="F200" s="17">
        <v>28.91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13996.54</v>
      </c>
      <c r="F201" s="17"/>
      <c r="G201" s="17">
        <v>851.82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581.87</v>
      </c>
      <c r="E202" s="17"/>
      <c r="F202" s="17">
        <v>39.24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13268.14</v>
      </c>
      <c r="F203" s="17"/>
      <c r="G203" s="17">
        <v>797.85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479.58</v>
      </c>
      <c r="E204" s="17"/>
      <c r="F204" s="17">
        <v>24.59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10492.47</v>
      </c>
      <c r="F205" s="17"/>
      <c r="G205" s="17">
        <v>559.16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359.82</v>
      </c>
      <c r="E206" s="17"/>
      <c r="F206" s="17">
        <v>20.14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5567.55</v>
      </c>
      <c r="F207" s="17"/>
      <c r="G207" s="17">
        <v>578.87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85.58</v>
      </c>
      <c r="E208" s="17"/>
      <c r="F208" s="17">
        <v>26.17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2111.58</v>
      </c>
      <c r="F209" s="17"/>
      <c r="G209" s="17">
        <v>650.63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83.34</v>
      </c>
      <c r="E210" s="17"/>
      <c r="F210" s="17">
        <v>25.88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2235.49</v>
      </c>
      <c r="F211" s="17"/>
      <c r="G211" s="17">
        <v>707.44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95.5</v>
      </c>
      <c r="E212" s="17"/>
      <c r="F212" s="17">
        <v>30.71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2340.49</v>
      </c>
      <c r="F213" s="17"/>
      <c r="G213" s="17">
        <v>593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91.74</v>
      </c>
      <c r="E214" s="17"/>
      <c r="F214" s="17">
        <v>16.73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1695.68</v>
      </c>
      <c r="F215" s="17"/>
      <c r="G215" s="17">
        <v>259.94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43.91</v>
      </c>
      <c r="E216" s="17"/>
      <c r="F216" s="17">
        <v>4.07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548.91</v>
      </c>
      <c r="F217" s="17"/>
      <c r="G217" s="17">
        <v>50.87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613.81</v>
      </c>
      <c r="F219" s="17"/>
      <c r="G219" s="17">
        <v>21.86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49.1</v>
      </c>
      <c r="E220" s="17"/>
      <c r="F220" s="17">
        <v>1.75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1399.93</v>
      </c>
      <c r="F221" s="17"/>
      <c r="G221" s="17">
        <v>50.95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62.89</v>
      </c>
      <c r="E222" s="17"/>
      <c r="F222" s="17">
        <v>2.33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1675.04</v>
      </c>
      <c r="F223" s="17"/>
      <c r="G223" s="17">
        <v>66.93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71.11</v>
      </c>
      <c r="E224" s="17"/>
      <c r="F224" s="17">
        <v>3.03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2264.98</v>
      </c>
      <c r="F225" s="17"/>
      <c r="G225" s="17">
        <v>64.68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110.09</v>
      </c>
      <c r="E226" s="17"/>
      <c r="F226" s="17">
        <v>2.15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2369.77</v>
      </c>
      <c r="F227" s="17"/>
      <c r="G227" s="17">
        <v>51.06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79.5</v>
      </c>
      <c r="E228" s="17"/>
      <c r="F228" s="17">
        <v>1.94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1868.47</v>
      </c>
      <c r="F229" s="17"/>
      <c r="G229" s="17">
        <v>36.24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69.98</v>
      </c>
      <c r="E230" s="17"/>
      <c r="F230" s="17">
        <v>0.96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874.77</v>
      </c>
      <c r="F231" s="17"/>
      <c r="G231" s="17">
        <v>12.03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824.38</v>
      </c>
      <c r="F249" s="17"/>
      <c r="G249" s="17">
        <v>61.63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65.95</v>
      </c>
      <c r="E250" s="17"/>
      <c r="F250" s="17">
        <v>4.93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2658.25</v>
      </c>
      <c r="F251" s="17"/>
      <c r="G251" s="17">
        <v>170.88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146.71</v>
      </c>
      <c r="E252" s="17"/>
      <c r="F252" s="17">
        <v>8.74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3429.5</v>
      </c>
      <c r="F253" s="17"/>
      <c r="G253" s="17">
        <v>546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127.65</v>
      </c>
      <c r="E254" s="17"/>
      <c r="F254" s="17">
        <v>34.94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2768</v>
      </c>
      <c r="F255" s="17"/>
      <c r="G255" s="17">
        <v>850.88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93.79</v>
      </c>
      <c r="E256" s="17"/>
      <c r="F256" s="17">
        <v>33.13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2373.75</v>
      </c>
      <c r="F257" s="17"/>
      <c r="G257" s="17">
        <v>820.75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96.11</v>
      </c>
      <c r="E258" s="17"/>
      <c r="F258" s="17">
        <v>32.53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2420.63</v>
      </c>
      <c r="F259" s="17"/>
      <c r="G259" s="17">
        <v>826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97.54</v>
      </c>
      <c r="E260" s="17"/>
      <c r="F260" s="17">
        <v>33.55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2458.38</v>
      </c>
      <c r="F261" s="17"/>
      <c r="G261" s="17">
        <v>850.5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99.13</v>
      </c>
      <c r="E262" s="17"/>
      <c r="F262" s="17">
        <v>34.49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2504.75</v>
      </c>
      <c r="F263" s="17"/>
      <c r="G263" s="17">
        <v>878.75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101.25</v>
      </c>
      <c r="E264" s="17"/>
      <c r="F264" s="17">
        <v>35.81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2709</v>
      </c>
      <c r="F265" s="17"/>
      <c r="G265" s="17">
        <v>942.88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115.47</v>
      </c>
      <c r="E266" s="17"/>
      <c r="F266" s="17">
        <v>39.62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2319</v>
      </c>
      <c r="F267" s="17"/>
      <c r="G267" s="17">
        <v>602.75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70.05</v>
      </c>
      <c r="E268" s="17"/>
      <c r="F268" s="17">
        <v>8.6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1266.88</v>
      </c>
      <c r="F269" s="17"/>
      <c r="G269" s="17">
        <v>184.13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31.3</v>
      </c>
      <c r="E270" s="17"/>
      <c r="F270" s="17">
        <v>6.13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391.25</v>
      </c>
      <c r="F271" s="17"/>
      <c r="G271" s="17">
        <v>76.63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0</v>
      </c>
      <c r="E272" s="17"/>
      <c r="F272" s="17">
        <v>0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0</v>
      </c>
      <c r="F273" s="17"/>
      <c r="G273" s="17">
        <v>0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0</v>
      </c>
      <c r="E274" s="17"/>
      <c r="F274" s="17">
        <v>0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0</v>
      </c>
      <c r="F275" s="17"/>
      <c r="G275" s="17">
        <v>0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0</v>
      </c>
      <c r="E276" s="17"/>
      <c r="F276" s="17">
        <v>0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0</v>
      </c>
      <c r="F277" s="17"/>
      <c r="G277" s="17">
        <v>0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0</v>
      </c>
      <c r="E278" s="17"/>
      <c r="F278" s="17">
        <v>0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0</v>
      </c>
      <c r="F279" s="17"/>
      <c r="G279" s="17">
        <v>0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0</v>
      </c>
      <c r="E280" s="17"/>
      <c r="F280" s="17">
        <v>0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0</v>
      </c>
      <c r="F281" s="17"/>
      <c r="G281" s="17">
        <v>0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0</v>
      </c>
      <c r="E282" s="17"/>
      <c r="F282" s="17">
        <v>0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0</v>
      </c>
      <c r="F283" s="17"/>
      <c r="G283" s="17">
        <v>0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0</v>
      </c>
      <c r="E284" s="17"/>
      <c r="F284" s="17">
        <v>0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0</v>
      </c>
      <c r="F285" s="17"/>
      <c r="G285" s="17">
        <v>0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0</v>
      </c>
      <c r="F291" s="17"/>
      <c r="G291" s="17">
        <v>0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0</v>
      </c>
      <c r="E292" s="17"/>
      <c r="F292" s="17">
        <v>0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0</v>
      </c>
      <c r="F293" s="17"/>
      <c r="G293" s="17">
        <v>0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0</v>
      </c>
      <c r="E294" s="17"/>
      <c r="F294" s="17">
        <v>0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0</v>
      </c>
      <c r="F295" s="17"/>
      <c r="G295" s="17">
        <v>0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0</v>
      </c>
      <c r="E296" s="17"/>
      <c r="F296" s="17">
        <v>0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0</v>
      </c>
      <c r="F297" s="17"/>
      <c r="G297" s="17">
        <v>0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0</v>
      </c>
      <c r="E298" s="17"/>
      <c r="F298" s="17">
        <v>0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0</v>
      </c>
      <c r="F299" s="17"/>
      <c r="G299" s="17">
        <v>0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0</v>
      </c>
      <c r="E300" s="17"/>
      <c r="F300" s="17">
        <v>0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0</v>
      </c>
      <c r="F301" s="17"/>
      <c r="G301" s="17">
        <v>0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0</v>
      </c>
      <c r="E302" s="17"/>
      <c r="F302" s="17">
        <v>0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0</v>
      </c>
      <c r="F303" s="17"/>
      <c r="G303" s="17">
        <v>0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3807.13</v>
      </c>
      <c r="F389" s="17"/>
      <c r="G389" s="17">
        <v>0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304.57</v>
      </c>
      <c r="E390" s="17"/>
      <c r="F390" s="17">
        <v>0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14037.5</v>
      </c>
      <c r="F391" s="17"/>
      <c r="G391" s="17">
        <v>469.5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818.43</v>
      </c>
      <c r="E392" s="17"/>
      <c r="F392" s="17">
        <v>37.56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21117.75</v>
      </c>
      <c r="F393" s="17"/>
      <c r="G393" s="17">
        <v>2566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870.99</v>
      </c>
      <c r="E394" s="17"/>
      <c r="F394" s="17">
        <v>167.72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21343.13</v>
      </c>
      <c r="F395" s="17"/>
      <c r="G395" s="17">
        <v>4184.63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836.46</v>
      </c>
      <c r="E396" s="17"/>
      <c r="F396" s="17">
        <v>167.05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20952.13</v>
      </c>
      <c r="F397" s="17"/>
      <c r="G397" s="17">
        <v>4167.63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839.71</v>
      </c>
      <c r="E398" s="17"/>
      <c r="F398" s="17">
        <v>166.36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21056.75</v>
      </c>
      <c r="F399" s="17"/>
      <c r="G399" s="17">
        <v>4155.38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844.83</v>
      </c>
      <c r="E400" s="17"/>
      <c r="F400" s="17">
        <v>166.07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20919.88</v>
      </c>
      <c r="F401" s="17"/>
      <c r="G401" s="17">
        <v>4140.63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828.76</v>
      </c>
      <c r="E402" s="17"/>
      <c r="F402" s="17">
        <v>165.18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20420.5</v>
      </c>
      <c r="F403" s="17"/>
      <c r="G403" s="17">
        <v>4116.25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804.88</v>
      </c>
      <c r="E404" s="17"/>
      <c r="F404" s="17">
        <v>164.12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20072.75</v>
      </c>
      <c r="F405" s="17"/>
      <c r="G405" s="17">
        <v>4091.25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800.94</v>
      </c>
      <c r="E406" s="17"/>
      <c r="F406" s="17">
        <v>163.18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19072.25</v>
      </c>
      <c r="F407" s="17"/>
      <c r="G407" s="17">
        <v>2623.75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724.84</v>
      </c>
      <c r="E408" s="17"/>
      <c r="F408" s="17">
        <v>46.72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15329.75</v>
      </c>
      <c r="F409" s="17"/>
      <c r="G409" s="17">
        <v>759.75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501.54</v>
      </c>
      <c r="E410" s="17"/>
      <c r="F410" s="17">
        <v>14.06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6269.25</v>
      </c>
      <c r="F411" s="17"/>
      <c r="G411" s="17">
        <v>175.75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0</v>
      </c>
      <c r="E412" s="17"/>
      <c r="F412" s="17">
        <v>0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0</v>
      </c>
      <c r="F413" s="17"/>
      <c r="G413" s="17">
        <v>0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0</v>
      </c>
      <c r="E414" s="17"/>
      <c r="F414" s="17">
        <v>0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0</v>
      </c>
      <c r="F415" s="17"/>
      <c r="G415" s="17">
        <v>0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0</v>
      </c>
      <c r="E416" s="17"/>
      <c r="F416" s="17">
        <v>0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0</v>
      </c>
      <c r="F417" s="17"/>
      <c r="G417" s="17">
        <v>0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0</v>
      </c>
      <c r="E418" s="17"/>
      <c r="F418" s="17">
        <v>0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0</v>
      </c>
      <c r="F419" s="17"/>
      <c r="G419" s="17">
        <v>0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0</v>
      </c>
      <c r="E420" s="17"/>
      <c r="F420" s="17">
        <v>0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0</v>
      </c>
      <c r="F421" s="17"/>
      <c r="G421" s="17">
        <v>0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0</v>
      </c>
      <c r="E422" s="17"/>
      <c r="F422" s="17">
        <v>0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0</v>
      </c>
      <c r="F423" s="17"/>
      <c r="G423" s="17">
        <v>0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0</v>
      </c>
      <c r="F425" s="17"/>
      <c r="G425" s="17">
        <v>0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0</v>
      </c>
      <c r="E426" s="17"/>
      <c r="F426" s="17">
        <v>0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0</v>
      </c>
      <c r="F427" s="17"/>
      <c r="G427" s="17">
        <v>0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0</v>
      </c>
      <c r="E428" s="17"/>
      <c r="F428" s="17">
        <v>0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1481.13</v>
      </c>
      <c r="F429" s="17"/>
      <c r="G429" s="17">
        <v>0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118.49</v>
      </c>
      <c r="E430" s="17"/>
      <c r="F430" s="17">
        <v>0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3033.88</v>
      </c>
      <c r="F431" s="17"/>
      <c r="G431" s="17">
        <v>0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124.22</v>
      </c>
      <c r="E432" s="17"/>
      <c r="F432" s="17">
        <v>0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3371.38</v>
      </c>
      <c r="F433" s="17"/>
      <c r="G433" s="17">
        <v>0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145.49</v>
      </c>
      <c r="E434" s="17"/>
      <c r="F434" s="17">
        <v>0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3905.63</v>
      </c>
      <c r="F435" s="17"/>
      <c r="G435" s="17">
        <v>0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166.96</v>
      </c>
      <c r="E436" s="17"/>
      <c r="F436" s="17">
        <v>0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3840.75</v>
      </c>
      <c r="F437" s="17"/>
      <c r="G437" s="17">
        <v>0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140.3</v>
      </c>
      <c r="E438" s="17"/>
      <c r="F438" s="17">
        <v>0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3523.5</v>
      </c>
      <c r="F439" s="17"/>
      <c r="G439" s="17">
        <v>0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141.58</v>
      </c>
      <c r="E440" s="17"/>
      <c r="F440" s="17">
        <v>0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2754.5</v>
      </c>
      <c r="F441" s="17"/>
      <c r="G441" s="17">
        <v>0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78.78</v>
      </c>
      <c r="E442" s="17"/>
      <c r="F442" s="17">
        <v>0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1888.63</v>
      </c>
      <c r="F443" s="17"/>
      <c r="G443" s="17">
        <v>61.13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72.31</v>
      </c>
      <c r="E444" s="17"/>
      <c r="F444" s="17">
        <v>4.89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1854.5</v>
      </c>
      <c r="F445" s="17"/>
      <c r="G445" s="17">
        <v>704.88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76.05</v>
      </c>
      <c r="E446" s="17"/>
      <c r="F446" s="17">
        <v>51.5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1799.25</v>
      </c>
      <c r="F447" s="17"/>
      <c r="G447" s="17">
        <v>1375.63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67.89</v>
      </c>
      <c r="E448" s="17"/>
      <c r="F448" s="17">
        <v>58.55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3564.75</v>
      </c>
      <c r="F449" s="17"/>
      <c r="G449" s="17">
        <v>2140.13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217.29</v>
      </c>
      <c r="E450" s="17"/>
      <c r="F450" s="17">
        <v>112.66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4952.75</v>
      </c>
      <c r="F451" s="17"/>
      <c r="G451" s="17">
        <v>2822.63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178.93</v>
      </c>
      <c r="E452" s="17"/>
      <c r="F452" s="17">
        <v>113.15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5796.75</v>
      </c>
      <c r="F453" s="17"/>
      <c r="G453" s="17">
        <v>2827.13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284.81</v>
      </c>
      <c r="E454" s="17"/>
      <c r="F454" s="17">
        <v>113.02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5893.75</v>
      </c>
      <c r="F455" s="17"/>
      <c r="G455" s="17">
        <v>2805.5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186.69</v>
      </c>
      <c r="E456" s="17"/>
      <c r="F456" s="17">
        <v>111.42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4095</v>
      </c>
      <c r="F457" s="17"/>
      <c r="G457" s="17">
        <v>2817.25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140.91</v>
      </c>
      <c r="E458" s="17"/>
      <c r="F458" s="17">
        <v>113.96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2802.75</v>
      </c>
      <c r="F459" s="17"/>
      <c r="G459" s="17">
        <v>2389.63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83.31</v>
      </c>
      <c r="E460" s="17"/>
      <c r="F460" s="17">
        <v>77.21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4507.5</v>
      </c>
      <c r="F461" s="17"/>
      <c r="G461" s="17">
        <v>2142.25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277.29</v>
      </c>
      <c r="E462" s="17"/>
      <c r="F462" s="17">
        <v>94.17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7857</v>
      </c>
      <c r="F463" s="17"/>
      <c r="G463" s="17">
        <v>2381.38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351.27</v>
      </c>
      <c r="E464" s="17"/>
      <c r="F464" s="17">
        <v>96.34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6757.88</v>
      </c>
      <c r="F465" s="17"/>
      <c r="G465" s="17">
        <v>1939.88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189.36</v>
      </c>
      <c r="E466" s="17"/>
      <c r="F466" s="17">
        <v>58.85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3477</v>
      </c>
      <c r="F467" s="17"/>
      <c r="G467" s="17">
        <v>1364.63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88.8</v>
      </c>
      <c r="E468" s="17"/>
      <c r="F468" s="17">
        <v>50.32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1251.88</v>
      </c>
      <c r="F469" s="17"/>
      <c r="G469" s="17">
        <v>1147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11.35</v>
      </c>
      <c r="E470" s="17"/>
      <c r="F470" s="17">
        <v>41.44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392</v>
      </c>
      <c r="F471" s="17"/>
      <c r="G471" s="17">
        <v>954.38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20.01</v>
      </c>
      <c r="E472" s="17"/>
      <c r="F472" s="17">
        <v>34.91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1022.38</v>
      </c>
      <c r="F473" s="17"/>
      <c r="G473" s="17">
        <v>1002.75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61.78</v>
      </c>
      <c r="E474" s="17"/>
      <c r="F474" s="17">
        <v>45.31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2069.25</v>
      </c>
      <c r="F475" s="17"/>
      <c r="G475" s="17">
        <v>1213.63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103.76</v>
      </c>
      <c r="E476" s="17"/>
      <c r="F476" s="17">
        <v>51.78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2589.5</v>
      </c>
      <c r="F477" s="17"/>
      <c r="G477" s="17">
        <v>847.38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103.4</v>
      </c>
      <c r="E478" s="17"/>
      <c r="F478" s="17">
        <v>16.01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1743.25</v>
      </c>
      <c r="F479" s="17"/>
      <c r="G479" s="17">
        <v>266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36.06</v>
      </c>
      <c r="E480" s="17"/>
      <c r="F480" s="17">
        <v>5.27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450.75</v>
      </c>
      <c r="F481" s="17"/>
      <c r="G481" s="24">
        <v>65.88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0</v>
      </c>
      <c r="E482" s="26"/>
      <c r="F482" s="17">
        <v>0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0</v>
      </c>
      <c r="F483" s="17"/>
      <c r="G483" s="17">
        <v>0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0</v>
      </c>
      <c r="E484" s="17"/>
      <c r="F484" s="17">
        <v>0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33.13</v>
      </c>
      <c r="F485" s="17"/>
      <c r="G485" s="17">
        <v>304.38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2.65</v>
      </c>
      <c r="E486" s="17"/>
      <c r="F486" s="17">
        <v>24.35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45.88</v>
      </c>
      <c r="F487" s="17"/>
      <c r="G487" s="17">
        <v>571.38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1.02</v>
      </c>
      <c r="E488" s="17"/>
      <c r="F488" s="17">
        <v>21.36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279.75</v>
      </c>
      <c r="F489" s="17"/>
      <c r="G489" s="17">
        <v>668.25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21.36</v>
      </c>
      <c r="E490" s="17"/>
      <c r="F490" s="17">
        <v>32.1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588.38</v>
      </c>
      <c r="F491" s="17"/>
      <c r="G491" s="17">
        <v>861.88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25.71</v>
      </c>
      <c r="E492" s="17"/>
      <c r="F492" s="17">
        <v>36.85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715.25</v>
      </c>
      <c r="F493" s="17"/>
      <c r="G493" s="17">
        <v>872.75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31.51</v>
      </c>
      <c r="E494" s="17"/>
      <c r="F494" s="17">
        <v>32.97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3227.25</v>
      </c>
      <c r="F495" s="17"/>
      <c r="G495" s="17">
        <v>1434.13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226.67</v>
      </c>
      <c r="E496" s="17"/>
      <c r="F496" s="17">
        <v>81.76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6381</v>
      </c>
      <c r="F497" s="17"/>
      <c r="G497" s="17">
        <v>2900.13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283.81</v>
      </c>
      <c r="E498" s="17"/>
      <c r="F498" s="17">
        <v>150.25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517427.6</v>
      </c>
      <c r="F500" s="30"/>
      <c r="G500" s="31">
        <f t="shared" si="81"/>
        <v>114047.68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W494" sqref="W494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296</v>
      </c>
      <c r="E7" s="7"/>
      <c r="F7" s="7"/>
      <c r="G7" s="7"/>
      <c r="H7" s="8" t="s">
        <v>297</v>
      </c>
      <c r="I7" s="7"/>
      <c r="J7" s="7"/>
      <c r="K7" s="7"/>
      <c r="L7" s="8" t="s">
        <v>298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314.51</v>
      </c>
      <c r="E10" s="13"/>
      <c r="F10" s="17">
        <v>127.99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8544.42</v>
      </c>
      <c r="F11" s="17"/>
      <c r="G11" s="17">
        <v>3138.25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369.04</v>
      </c>
      <c r="E12" s="17"/>
      <c r="F12" s="17">
        <v>123.07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9738.02</v>
      </c>
      <c r="F13" s="17"/>
      <c r="G13" s="17">
        <v>3215.83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410</v>
      </c>
      <c r="E14" s="17"/>
      <c r="F14" s="17">
        <v>134.19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10351.67</v>
      </c>
      <c r="F15" s="17"/>
      <c r="G15" s="17">
        <v>3683.65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418.14</v>
      </c>
      <c r="E16" s="17"/>
      <c r="F16" s="17">
        <v>160.5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10147.85</v>
      </c>
      <c r="F17" s="17"/>
      <c r="G17" s="17">
        <v>4070.91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393.69</v>
      </c>
      <c r="E18" s="17"/>
      <c r="F18" s="17">
        <v>165.17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8346.02</v>
      </c>
      <c r="F19" s="17"/>
      <c r="G19" s="17">
        <v>3133.52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273.99</v>
      </c>
      <c r="E20" s="17"/>
      <c r="F20" s="17">
        <v>85.51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5408.34</v>
      </c>
      <c r="F21" s="17"/>
      <c r="G21" s="17">
        <v>1588.68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158.68</v>
      </c>
      <c r="E22" s="17"/>
      <c r="F22" s="17">
        <v>41.59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4102.54</v>
      </c>
      <c r="F23" s="17"/>
      <c r="G23" s="17">
        <v>1048.27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169.52</v>
      </c>
      <c r="E24" s="17"/>
      <c r="F24" s="17">
        <v>42.28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4027.58</v>
      </c>
      <c r="F25" s="17"/>
      <c r="G25" s="17">
        <v>1023.94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152.68</v>
      </c>
      <c r="E26" s="17"/>
      <c r="F26" s="17">
        <v>39.64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3360.85</v>
      </c>
      <c r="F27" s="17"/>
      <c r="G27" s="17">
        <v>823.72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116.19</v>
      </c>
      <c r="E28" s="17"/>
      <c r="F28" s="17">
        <v>26.26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2472.14</v>
      </c>
      <c r="F29" s="17"/>
      <c r="G29" s="17">
        <v>568.91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81.58</v>
      </c>
      <c r="E30" s="17"/>
      <c r="F30" s="17">
        <v>19.25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1656.88</v>
      </c>
      <c r="F31" s="17"/>
      <c r="G31" s="17">
        <v>417.17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50.97</v>
      </c>
      <c r="E32" s="17"/>
      <c r="F32" s="17">
        <v>14.12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784.26</v>
      </c>
      <c r="F33" s="17"/>
      <c r="G33" s="20">
        <v>255.27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11.78</v>
      </c>
      <c r="E34" s="21"/>
      <c r="F34" s="17">
        <v>6.3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147.19</v>
      </c>
      <c r="F35" s="17"/>
      <c r="G35" s="17">
        <v>78.78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581.42</v>
      </c>
      <c r="F57" s="17"/>
      <c r="G57" s="17">
        <v>38.82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46.51</v>
      </c>
      <c r="E58" s="17"/>
      <c r="F58" s="17">
        <v>3.11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1338.13</v>
      </c>
      <c r="F59" s="17"/>
      <c r="G59" s="17">
        <v>82.62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60.54</v>
      </c>
      <c r="E60" s="17"/>
      <c r="F60" s="17">
        <v>3.5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1886.63</v>
      </c>
      <c r="F61" s="17"/>
      <c r="G61" s="17">
        <v>98.92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90.39</v>
      </c>
      <c r="E62" s="17"/>
      <c r="F62" s="17">
        <v>4.41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2081.18</v>
      </c>
      <c r="F63" s="17"/>
      <c r="G63" s="17">
        <v>109.9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76.1</v>
      </c>
      <c r="E64" s="17"/>
      <c r="F64" s="17">
        <v>4.38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1879.52</v>
      </c>
      <c r="F65" s="17"/>
      <c r="G65" s="17">
        <v>112.1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74.26</v>
      </c>
      <c r="E66" s="17"/>
      <c r="F66" s="17">
        <v>4.59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1800.45</v>
      </c>
      <c r="F67" s="17"/>
      <c r="G67" s="17">
        <v>113.58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69.78</v>
      </c>
      <c r="E68" s="17"/>
      <c r="F68" s="17">
        <v>4.5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1607.33</v>
      </c>
      <c r="F69" s="17"/>
      <c r="G69" s="17">
        <v>98.61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58.81</v>
      </c>
      <c r="E70" s="17"/>
      <c r="F70" s="17">
        <v>3.39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1266.6</v>
      </c>
      <c r="F71" s="17"/>
      <c r="G71" s="17">
        <v>92.84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42.52</v>
      </c>
      <c r="E72" s="17"/>
      <c r="F72" s="17">
        <v>4.04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1266.16</v>
      </c>
      <c r="F73" s="17"/>
      <c r="G73" s="17">
        <v>95.94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58.78</v>
      </c>
      <c r="E74" s="17"/>
      <c r="F74" s="17">
        <v>3.64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1025.27</v>
      </c>
      <c r="F75" s="17"/>
      <c r="G75" s="17">
        <v>81.72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23.25</v>
      </c>
      <c r="E76" s="17"/>
      <c r="F76" s="17">
        <v>2.9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625.85</v>
      </c>
      <c r="F77" s="17"/>
      <c r="G77" s="17">
        <v>66.47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26.82</v>
      </c>
      <c r="E78" s="17"/>
      <c r="F78" s="17">
        <v>2.42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518.59</v>
      </c>
      <c r="F79" s="17"/>
      <c r="G79" s="17">
        <v>53.48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14.67</v>
      </c>
      <c r="E80" s="17"/>
      <c r="F80" s="17">
        <v>1.86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363.75</v>
      </c>
      <c r="F81" s="17"/>
      <c r="G81" s="17">
        <v>56.12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14.43</v>
      </c>
      <c r="E82" s="17"/>
      <c r="F82" s="17">
        <v>2.63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458.45</v>
      </c>
      <c r="F83" s="17"/>
      <c r="G83" s="17">
        <v>79.41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22.24</v>
      </c>
      <c r="E84" s="17"/>
      <c r="F84" s="17">
        <v>3.72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648.97</v>
      </c>
      <c r="F85" s="17"/>
      <c r="G85" s="17">
        <v>100.14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29.68</v>
      </c>
      <c r="E86" s="17"/>
      <c r="F86" s="17">
        <v>4.29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469.31</v>
      </c>
      <c r="F87" s="17"/>
      <c r="G87" s="17">
        <v>78.53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7.87</v>
      </c>
      <c r="E88" s="17"/>
      <c r="F88" s="17">
        <v>2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98.36</v>
      </c>
      <c r="F89" s="17"/>
      <c r="G89" s="17">
        <v>24.95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372.53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29.8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1122.46</v>
      </c>
      <c r="F99" s="17"/>
      <c r="G99" s="17">
        <v>344.73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59.99</v>
      </c>
      <c r="E100" s="17"/>
      <c r="F100" s="17">
        <v>27.58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2175.96</v>
      </c>
      <c r="F101" s="17"/>
      <c r="G101" s="17">
        <v>867.73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114.08</v>
      </c>
      <c r="E102" s="17"/>
      <c r="F102" s="17">
        <v>41.84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3740.74</v>
      </c>
      <c r="F103" s="17"/>
      <c r="G103" s="17">
        <v>1201.87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185.18</v>
      </c>
      <c r="E104" s="17"/>
      <c r="F104" s="17">
        <v>54.31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5322.23</v>
      </c>
      <c r="F105" s="17"/>
      <c r="G105" s="17">
        <v>1367.49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240.6</v>
      </c>
      <c r="E106" s="17"/>
      <c r="F106" s="17">
        <v>55.09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6689.26</v>
      </c>
      <c r="F107" s="17"/>
      <c r="G107" s="17">
        <v>1165.16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294.54</v>
      </c>
      <c r="E108" s="17"/>
      <c r="F108" s="17">
        <v>38.12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7402.51</v>
      </c>
      <c r="F109" s="17"/>
      <c r="G109" s="17">
        <v>1031.97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297.66</v>
      </c>
      <c r="E110" s="17"/>
      <c r="F110" s="17">
        <v>44.43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8253.42</v>
      </c>
      <c r="F111" s="17"/>
      <c r="G111" s="17">
        <v>1132.89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362.61</v>
      </c>
      <c r="E112" s="17"/>
      <c r="F112" s="17">
        <v>46.2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9648.71</v>
      </c>
      <c r="F113" s="17"/>
      <c r="G113" s="17">
        <v>1229.18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409.28</v>
      </c>
      <c r="E114" s="17"/>
      <c r="F114" s="17">
        <v>52.14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10298.37</v>
      </c>
      <c r="F115" s="17"/>
      <c r="G115" s="17">
        <v>1299.93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414.58</v>
      </c>
      <c r="E116" s="17"/>
      <c r="F116" s="17">
        <v>51.86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9804.57</v>
      </c>
      <c r="F117" s="17"/>
      <c r="G117" s="17">
        <v>1220.74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369.78</v>
      </c>
      <c r="E118" s="17"/>
      <c r="F118" s="17">
        <v>45.8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9346.96</v>
      </c>
      <c r="F119" s="17"/>
      <c r="G119" s="17">
        <v>1170.85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377.98</v>
      </c>
      <c r="E120" s="17"/>
      <c r="F120" s="17">
        <v>47.87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9497.57</v>
      </c>
      <c r="F121" s="17"/>
      <c r="G121" s="17">
        <v>1191.01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381.83</v>
      </c>
      <c r="E122" s="17"/>
      <c r="F122" s="17">
        <v>47.41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8688.57</v>
      </c>
      <c r="F123" s="17"/>
      <c r="G123" s="17">
        <v>850.22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313.26</v>
      </c>
      <c r="E124" s="17"/>
      <c r="F124" s="17">
        <v>20.6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6942.88</v>
      </c>
      <c r="F125" s="17"/>
      <c r="G125" s="17">
        <v>392.25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242.17</v>
      </c>
      <c r="E126" s="17"/>
      <c r="F126" s="17">
        <v>10.78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4211.01</v>
      </c>
      <c r="F127" s="17"/>
      <c r="G127" s="17">
        <v>134.71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94.71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3016.23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146.59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4665.16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226.62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6363.87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282.49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7119.23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287.05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7468.74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310.45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8433.59</v>
      </c>
      <c r="F139" s="17"/>
      <c r="G139" s="17">
        <v>27.87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364.24</v>
      </c>
      <c r="E140" s="17"/>
      <c r="F140" s="17">
        <v>2.23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7158.58</v>
      </c>
      <c r="F141" s="17"/>
      <c r="G141" s="17">
        <v>88.17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208.45</v>
      </c>
      <c r="E142" s="17"/>
      <c r="F142" s="17">
        <v>4.82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6651.41</v>
      </c>
      <c r="F143" s="17"/>
      <c r="G143" s="17">
        <v>215.27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323.66</v>
      </c>
      <c r="E144" s="17"/>
      <c r="F144" s="17">
        <v>12.4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6409.69</v>
      </c>
      <c r="F145" s="17"/>
      <c r="G145" s="17">
        <v>309.99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189.11</v>
      </c>
      <c r="E146" s="17"/>
      <c r="F146" s="17">
        <v>12.4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3648.46</v>
      </c>
      <c r="F147" s="17"/>
      <c r="G147" s="17">
        <v>333.81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102.76</v>
      </c>
      <c r="E148" s="17"/>
      <c r="F148" s="17">
        <v>14.3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2884.32</v>
      </c>
      <c r="F149" s="17"/>
      <c r="G149" s="17">
        <v>371.6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127.98</v>
      </c>
      <c r="E150" s="17"/>
      <c r="F150" s="17">
        <v>15.43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3708.79</v>
      </c>
      <c r="F151" s="17"/>
      <c r="G151" s="17">
        <v>414.1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168.72</v>
      </c>
      <c r="E152" s="17"/>
      <c r="F152" s="17">
        <v>17.7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4375.01</v>
      </c>
      <c r="F153" s="17"/>
      <c r="G153" s="17">
        <v>496.27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181.28</v>
      </c>
      <c r="E154" s="17"/>
      <c r="F154" s="17">
        <v>22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5108.95</v>
      </c>
      <c r="F155" s="17"/>
      <c r="G155" s="17">
        <v>628.54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227.44</v>
      </c>
      <c r="E156" s="17"/>
      <c r="F156" s="17">
        <v>28.28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5894.82</v>
      </c>
      <c r="F157" s="17"/>
      <c r="G157" s="17">
        <v>844.65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244.15</v>
      </c>
      <c r="E158" s="17"/>
      <c r="F158" s="17">
        <v>39.29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6107.37</v>
      </c>
      <c r="F159" s="17"/>
      <c r="G159" s="17">
        <v>1073.9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244.44</v>
      </c>
      <c r="E160" s="17"/>
      <c r="F160" s="17">
        <v>46.62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6385.16</v>
      </c>
      <c r="F161" s="17"/>
      <c r="G161" s="17">
        <v>1280.21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266.37</v>
      </c>
      <c r="E162" s="17"/>
      <c r="F162" s="17">
        <v>55.79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5160.75</v>
      </c>
      <c r="F163" s="17"/>
      <c r="G163" s="17">
        <v>1550.31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146.49</v>
      </c>
      <c r="E164" s="17"/>
      <c r="F164" s="17">
        <v>68.23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3845.71</v>
      </c>
      <c r="F165" s="17"/>
      <c r="G165" s="17">
        <v>1915.65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161.17</v>
      </c>
      <c r="E166" s="17"/>
      <c r="F166" s="17">
        <v>85.02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4029.42</v>
      </c>
      <c r="F167" s="17"/>
      <c r="G167" s="17">
        <v>2523.34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161.19</v>
      </c>
      <c r="E168" s="17"/>
      <c r="F168" s="17">
        <v>116.85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4924.13</v>
      </c>
      <c r="F169" s="17"/>
      <c r="G169" s="17">
        <v>2701.23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232.75</v>
      </c>
      <c r="E170" s="17"/>
      <c r="F170" s="17">
        <v>99.25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7007.5</v>
      </c>
      <c r="F171" s="17"/>
      <c r="G171" s="17">
        <v>2407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327.86</v>
      </c>
      <c r="E172" s="17"/>
      <c r="F172" s="17">
        <v>93.31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8285.52</v>
      </c>
      <c r="F173" s="17"/>
      <c r="G173" s="17">
        <v>2441.83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334.99</v>
      </c>
      <c r="E174" s="17"/>
      <c r="F174" s="17">
        <v>102.04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7874.93</v>
      </c>
      <c r="F175" s="17"/>
      <c r="G175" s="17">
        <v>2417.19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295.01</v>
      </c>
      <c r="E176" s="17"/>
      <c r="F176" s="17">
        <v>91.34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7597.76</v>
      </c>
      <c r="F177" s="17"/>
      <c r="G177" s="17">
        <v>2221.78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312.81</v>
      </c>
      <c r="E178" s="17"/>
      <c r="F178" s="17">
        <v>86.41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7380.09</v>
      </c>
      <c r="F179" s="17"/>
      <c r="G179" s="17">
        <v>2023.09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277.59</v>
      </c>
      <c r="E180" s="17"/>
      <c r="F180" s="17">
        <v>75.44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7172.95</v>
      </c>
      <c r="F181" s="17"/>
      <c r="G181" s="17">
        <v>1722.82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296.24</v>
      </c>
      <c r="E182" s="17"/>
      <c r="F182" s="17">
        <v>62.38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7145.13</v>
      </c>
      <c r="F183" s="17"/>
      <c r="G183" s="17">
        <v>1479.4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275.37</v>
      </c>
      <c r="E184" s="17"/>
      <c r="F184" s="17">
        <v>55.97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6078.37</v>
      </c>
      <c r="F185" s="17"/>
      <c r="G185" s="17">
        <v>846.12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210.9</v>
      </c>
      <c r="E186" s="17"/>
      <c r="F186" s="17">
        <v>11.72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5186.09</v>
      </c>
      <c r="F187" s="17"/>
      <c r="G187" s="17">
        <v>274.28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203.99</v>
      </c>
      <c r="E188" s="17"/>
      <c r="F188" s="17">
        <v>10.22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4703.17</v>
      </c>
      <c r="F189" s="17"/>
      <c r="G189" s="17">
        <v>232.27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172.27</v>
      </c>
      <c r="E190" s="17"/>
      <c r="F190" s="17">
        <v>8.36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4311.52</v>
      </c>
      <c r="F191" s="17"/>
      <c r="G191" s="17">
        <v>225.7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172.65</v>
      </c>
      <c r="E192" s="17"/>
      <c r="F192" s="17">
        <v>9.69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4335.56</v>
      </c>
      <c r="F193" s="17"/>
      <c r="G193" s="17">
        <v>245.53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174.19</v>
      </c>
      <c r="E194" s="17"/>
      <c r="F194" s="17">
        <v>9.95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3182.02</v>
      </c>
      <c r="F195" s="17"/>
      <c r="G195" s="17">
        <v>274.95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80.37</v>
      </c>
      <c r="E196" s="17"/>
      <c r="F196" s="17">
        <v>12.05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1697.83</v>
      </c>
      <c r="F197" s="17"/>
      <c r="G197" s="17">
        <v>237.69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55.45</v>
      </c>
      <c r="E198" s="17"/>
      <c r="F198" s="17">
        <v>6.97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1107.4</v>
      </c>
      <c r="F199" s="17"/>
      <c r="G199" s="17">
        <v>125.43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33.14</v>
      </c>
      <c r="E200" s="17"/>
      <c r="F200" s="17">
        <v>3.07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414.22</v>
      </c>
      <c r="F201" s="17"/>
      <c r="G201" s="17">
        <v>38.34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0</v>
      </c>
      <c r="F207" s="17"/>
      <c r="G207" s="17">
        <v>0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0</v>
      </c>
      <c r="E208" s="17"/>
      <c r="F208" s="17">
        <v>0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0</v>
      </c>
      <c r="F209" s="17"/>
      <c r="G209" s="17">
        <v>0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0</v>
      </c>
      <c r="E210" s="17"/>
      <c r="F210" s="17">
        <v>0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0</v>
      </c>
      <c r="F211" s="17"/>
      <c r="G211" s="17">
        <v>0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0</v>
      </c>
      <c r="E212" s="17"/>
      <c r="F212" s="17">
        <v>0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0</v>
      </c>
      <c r="F213" s="17"/>
      <c r="G213" s="17">
        <v>0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0</v>
      </c>
      <c r="E214" s="17"/>
      <c r="F214" s="17">
        <v>0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671.02</v>
      </c>
      <c r="F215" s="17"/>
      <c r="G215" s="17">
        <v>70.25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53.68</v>
      </c>
      <c r="E216" s="17"/>
      <c r="F216" s="17">
        <v>5.62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1472.79</v>
      </c>
      <c r="F217" s="17"/>
      <c r="G217" s="17">
        <v>208.67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64.14</v>
      </c>
      <c r="E218" s="17"/>
      <c r="F218" s="17">
        <v>11.07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1951.99</v>
      </c>
      <c r="F219" s="17"/>
      <c r="G219" s="17">
        <v>337.71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92.02</v>
      </c>
      <c r="E220" s="17"/>
      <c r="F220" s="17">
        <v>15.94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3007.69</v>
      </c>
      <c r="F221" s="17"/>
      <c r="G221" s="17">
        <v>466.77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148.6</v>
      </c>
      <c r="E222" s="17"/>
      <c r="F222" s="17">
        <v>21.4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4173.32</v>
      </c>
      <c r="F223" s="17"/>
      <c r="G223" s="17">
        <v>597.44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185.27</v>
      </c>
      <c r="E224" s="17"/>
      <c r="F224" s="17">
        <v>26.4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5276.53</v>
      </c>
      <c r="F225" s="17"/>
      <c r="G225" s="17">
        <v>721.74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236.85</v>
      </c>
      <c r="E226" s="17"/>
      <c r="F226" s="17">
        <v>31.34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6132.87</v>
      </c>
      <c r="F227" s="17"/>
      <c r="G227" s="17">
        <v>861.69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253.78</v>
      </c>
      <c r="E228" s="17"/>
      <c r="F228" s="17">
        <v>37.59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6683.31</v>
      </c>
      <c r="F229" s="17"/>
      <c r="G229" s="17">
        <v>996.8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280.89</v>
      </c>
      <c r="E230" s="17"/>
      <c r="F230" s="17">
        <v>42.15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8045.64</v>
      </c>
      <c r="F231" s="17"/>
      <c r="G231" s="17">
        <v>1130.65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362.76</v>
      </c>
      <c r="E232" s="17"/>
      <c r="F232" s="17">
        <v>48.3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11235.1</v>
      </c>
      <c r="F233" s="17"/>
      <c r="G233" s="17">
        <v>1513.05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536.05</v>
      </c>
      <c r="E234" s="17"/>
      <c r="F234" s="17">
        <v>72.74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13583.57</v>
      </c>
      <c r="F235" s="17"/>
      <c r="G235" s="17">
        <v>1716.77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550.64</v>
      </c>
      <c r="E236" s="17"/>
      <c r="F236" s="17">
        <v>64.6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13624.91</v>
      </c>
      <c r="F237" s="17"/>
      <c r="G237" s="17">
        <v>1597.27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539.35</v>
      </c>
      <c r="E238" s="17"/>
      <c r="F238" s="17">
        <v>63.18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13156.3</v>
      </c>
      <c r="F239" s="17"/>
      <c r="G239" s="17">
        <v>1563.49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513.15</v>
      </c>
      <c r="E240" s="17"/>
      <c r="F240" s="17">
        <v>61.9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12408.07</v>
      </c>
      <c r="F241" s="17"/>
      <c r="G241" s="17">
        <v>1533.96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479.5</v>
      </c>
      <c r="E242" s="17"/>
      <c r="F242" s="17">
        <v>60.82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11709.23</v>
      </c>
      <c r="F243" s="17"/>
      <c r="G243" s="17">
        <v>1492.23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457.24</v>
      </c>
      <c r="E244" s="17"/>
      <c r="F244" s="17">
        <v>58.56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11085.29</v>
      </c>
      <c r="F245" s="17"/>
      <c r="G245" s="17">
        <v>1438.53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429.58</v>
      </c>
      <c r="E246" s="17"/>
      <c r="F246" s="17">
        <v>56.52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10585.39</v>
      </c>
      <c r="F247" s="17"/>
      <c r="G247" s="17">
        <v>1404.48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417.25</v>
      </c>
      <c r="E248" s="17"/>
      <c r="F248" s="17">
        <v>55.83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11386.13</v>
      </c>
      <c r="F249" s="17"/>
      <c r="G249" s="17">
        <v>1390.43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493.64</v>
      </c>
      <c r="E250" s="17"/>
      <c r="F250" s="17">
        <v>55.4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9714.13</v>
      </c>
      <c r="F251" s="17"/>
      <c r="G251" s="17">
        <v>1175.63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283.49</v>
      </c>
      <c r="E252" s="17"/>
      <c r="F252" s="17">
        <v>38.65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7430.5</v>
      </c>
      <c r="F253" s="17"/>
      <c r="G253" s="17">
        <v>1009.75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310.95</v>
      </c>
      <c r="E254" s="17"/>
      <c r="F254" s="17">
        <v>42.13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7823.88</v>
      </c>
      <c r="F255" s="17"/>
      <c r="G255" s="17">
        <v>1086.25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314.96</v>
      </c>
      <c r="E256" s="17"/>
      <c r="F256" s="17">
        <v>44.77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8270.5</v>
      </c>
      <c r="F257" s="17"/>
      <c r="G257" s="17">
        <v>1187.63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346.68</v>
      </c>
      <c r="E258" s="17"/>
      <c r="F258" s="17">
        <v>50.24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8464.13</v>
      </c>
      <c r="F259" s="17"/>
      <c r="G259" s="17">
        <v>1376.63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330.45</v>
      </c>
      <c r="E260" s="17"/>
      <c r="F260" s="17">
        <v>59.89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8416.38</v>
      </c>
      <c r="F261" s="17"/>
      <c r="G261" s="17">
        <v>1510.5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342.86</v>
      </c>
      <c r="E262" s="17"/>
      <c r="F262" s="17">
        <v>60.95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8166</v>
      </c>
      <c r="F263" s="17"/>
      <c r="G263" s="17">
        <v>1457.75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310.42</v>
      </c>
      <c r="E264" s="17"/>
      <c r="F264" s="17">
        <v>55.67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7488.63</v>
      </c>
      <c r="F265" s="17"/>
      <c r="G265" s="17">
        <v>1333.13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288.67</v>
      </c>
      <c r="E266" s="17"/>
      <c r="F266" s="17">
        <v>50.98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7094.63</v>
      </c>
      <c r="F267" s="17"/>
      <c r="G267" s="17">
        <v>1279.88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278.9</v>
      </c>
      <c r="E268" s="17"/>
      <c r="F268" s="17">
        <v>51.41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7435.63</v>
      </c>
      <c r="F269" s="17"/>
      <c r="G269" s="17">
        <v>1304.63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315.95</v>
      </c>
      <c r="E270" s="17"/>
      <c r="F270" s="17">
        <v>52.96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8461.38</v>
      </c>
      <c r="F271" s="17"/>
      <c r="G271" s="17">
        <v>1363.38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360.96</v>
      </c>
      <c r="E272" s="17"/>
      <c r="F272" s="17">
        <v>56.11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8817</v>
      </c>
      <c r="F273" s="17"/>
      <c r="G273" s="17">
        <v>1368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344.4</v>
      </c>
      <c r="E274" s="17"/>
      <c r="F274" s="17">
        <v>53.33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7749.25</v>
      </c>
      <c r="F275" s="17"/>
      <c r="G275" s="17">
        <v>1332.38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275.54</v>
      </c>
      <c r="E276" s="17"/>
      <c r="F276" s="17">
        <v>53.26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6877.5</v>
      </c>
      <c r="F277" s="17"/>
      <c r="G277" s="17">
        <v>1308.75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274.66</v>
      </c>
      <c r="E278" s="17"/>
      <c r="F278" s="17">
        <v>51.44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6272.13</v>
      </c>
      <c r="F279" s="17"/>
      <c r="G279" s="17">
        <v>1138.88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227.11</v>
      </c>
      <c r="E280" s="17"/>
      <c r="F280" s="17">
        <v>39.67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4620.25</v>
      </c>
      <c r="F281" s="17"/>
      <c r="G281" s="17">
        <v>855.38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142.51</v>
      </c>
      <c r="E282" s="17"/>
      <c r="F282" s="17">
        <v>28.76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2802.25</v>
      </c>
      <c r="F283" s="17"/>
      <c r="G283" s="17">
        <v>582.88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81.67</v>
      </c>
      <c r="E284" s="17"/>
      <c r="F284" s="17">
        <v>17.87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2552.88</v>
      </c>
      <c r="F285" s="17"/>
      <c r="G285" s="17">
        <v>433.25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122.56</v>
      </c>
      <c r="E286" s="17"/>
      <c r="F286" s="17">
        <v>16.79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2866.75</v>
      </c>
      <c r="F287" s="17"/>
      <c r="G287" s="17">
        <v>404.38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106.78</v>
      </c>
      <c r="E288" s="17"/>
      <c r="F288" s="17">
        <v>15.56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3680</v>
      </c>
      <c r="F289" s="17"/>
      <c r="G289" s="17">
        <v>494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187.62</v>
      </c>
      <c r="E290" s="17"/>
      <c r="F290" s="17">
        <v>23.96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5105.25</v>
      </c>
      <c r="F291" s="17"/>
      <c r="G291" s="17">
        <v>618.75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220.8</v>
      </c>
      <c r="E292" s="17"/>
      <c r="F292" s="17">
        <v>25.54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5663.88</v>
      </c>
      <c r="F293" s="17"/>
      <c r="G293" s="17">
        <v>654.25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232.31</v>
      </c>
      <c r="E294" s="17"/>
      <c r="F294" s="17">
        <v>26.8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5648.38</v>
      </c>
      <c r="F295" s="17"/>
      <c r="G295" s="17">
        <v>685.88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219.56</v>
      </c>
      <c r="E296" s="17"/>
      <c r="F296" s="17">
        <v>28.07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5298.88</v>
      </c>
      <c r="F297" s="17"/>
      <c r="G297" s="17">
        <v>685.5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204.35</v>
      </c>
      <c r="E298" s="17"/>
      <c r="F298" s="17">
        <v>26.77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5157.63</v>
      </c>
      <c r="F299" s="17"/>
      <c r="G299" s="17">
        <v>655.88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208.26</v>
      </c>
      <c r="E300" s="17"/>
      <c r="F300" s="17">
        <v>25.7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5223.5</v>
      </c>
      <c r="F301" s="17"/>
      <c r="G301" s="17">
        <v>622.75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209.62</v>
      </c>
      <c r="E302" s="17"/>
      <c r="F302" s="17">
        <v>24.12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3912.75</v>
      </c>
      <c r="F303" s="17"/>
      <c r="G303" s="17">
        <v>455.88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103.4</v>
      </c>
      <c r="E304" s="17"/>
      <c r="F304" s="17">
        <v>12.35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1292.5</v>
      </c>
      <c r="F305" s="17"/>
      <c r="G305" s="17">
        <v>154.38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3059.5</v>
      </c>
      <c r="F321" s="17"/>
      <c r="G321" s="17">
        <v>1117.63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244.76</v>
      </c>
      <c r="E322" s="17"/>
      <c r="F322" s="17">
        <v>89.41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5372.5</v>
      </c>
      <c r="F323" s="17"/>
      <c r="G323" s="17">
        <v>2212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185.04</v>
      </c>
      <c r="E324" s="17"/>
      <c r="F324" s="17">
        <v>87.55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4991.25</v>
      </c>
      <c r="F325" s="17"/>
      <c r="G325" s="17">
        <v>2323.13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214.26</v>
      </c>
      <c r="E326" s="17"/>
      <c r="F326" s="17">
        <v>98.3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4735.38</v>
      </c>
      <c r="F327" s="17"/>
      <c r="G327" s="17">
        <v>2461.63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164.57</v>
      </c>
      <c r="E328" s="17"/>
      <c r="F328" s="17">
        <v>98.63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3378.75</v>
      </c>
      <c r="F329" s="17"/>
      <c r="G329" s="17">
        <v>2352.5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105.73</v>
      </c>
      <c r="E330" s="17"/>
      <c r="F330" s="17">
        <v>89.57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2389.88</v>
      </c>
      <c r="F331" s="17"/>
      <c r="G331" s="17">
        <v>2367.75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85.46</v>
      </c>
      <c r="E332" s="17"/>
      <c r="F332" s="17">
        <v>99.85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1341.5</v>
      </c>
      <c r="F333" s="17"/>
      <c r="G333" s="17">
        <v>1333.38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21.86</v>
      </c>
      <c r="E334" s="17"/>
      <c r="F334" s="17">
        <v>6.82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485</v>
      </c>
      <c r="F335" s="17"/>
      <c r="G335" s="17">
        <v>172.88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16.94</v>
      </c>
      <c r="E336" s="17"/>
      <c r="F336" s="17">
        <v>7.01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438.75</v>
      </c>
      <c r="F337" s="17"/>
      <c r="G337" s="17">
        <v>195.88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18.16</v>
      </c>
      <c r="E338" s="17"/>
      <c r="F338" s="17">
        <v>8.66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659.13</v>
      </c>
      <c r="F339" s="17"/>
      <c r="G339" s="17">
        <v>230.25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34.57</v>
      </c>
      <c r="E340" s="17"/>
      <c r="F340" s="17">
        <v>9.76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649.38</v>
      </c>
      <c r="F341" s="17"/>
      <c r="G341" s="17">
        <v>233.75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17.38</v>
      </c>
      <c r="E342" s="17"/>
      <c r="F342" s="17">
        <v>8.94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623.25</v>
      </c>
      <c r="F343" s="17"/>
      <c r="G343" s="17">
        <v>241.25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32.48</v>
      </c>
      <c r="E344" s="17"/>
      <c r="F344" s="17">
        <v>10.36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946.75</v>
      </c>
      <c r="F345" s="17"/>
      <c r="G345" s="17">
        <v>279.88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43.26</v>
      </c>
      <c r="E346" s="17"/>
      <c r="F346" s="17">
        <v>12.03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917.25</v>
      </c>
      <c r="F347" s="17"/>
      <c r="G347" s="17">
        <v>286.38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30.12</v>
      </c>
      <c r="E348" s="17"/>
      <c r="F348" s="17">
        <v>10.88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588</v>
      </c>
      <c r="F349" s="17"/>
      <c r="G349" s="17">
        <v>277.25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16.92</v>
      </c>
      <c r="E350" s="17"/>
      <c r="F350" s="17">
        <v>11.3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409.63</v>
      </c>
      <c r="F351" s="17"/>
      <c r="G351" s="17">
        <v>285.75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15.85</v>
      </c>
      <c r="E352" s="17"/>
      <c r="F352" s="17">
        <v>11.56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376.88</v>
      </c>
      <c r="F353" s="17"/>
      <c r="G353" s="17">
        <v>276.5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14.3</v>
      </c>
      <c r="E354" s="17"/>
      <c r="F354" s="17">
        <v>10.56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1452.5</v>
      </c>
      <c r="F355" s="17"/>
      <c r="G355" s="17">
        <v>427.25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101.9</v>
      </c>
      <c r="E356" s="17"/>
      <c r="F356" s="17">
        <v>23.62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3928.88</v>
      </c>
      <c r="F357" s="17"/>
      <c r="G357" s="17">
        <v>635.13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212.41</v>
      </c>
      <c r="E358" s="17"/>
      <c r="F358" s="17">
        <v>27.19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3729.88</v>
      </c>
      <c r="F359" s="17"/>
      <c r="G359" s="17">
        <v>947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85.98</v>
      </c>
      <c r="E360" s="17"/>
      <c r="F360" s="17">
        <v>48.57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1765.38</v>
      </c>
      <c r="F361" s="17"/>
      <c r="G361" s="17">
        <v>1164.63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55.25</v>
      </c>
      <c r="E362" s="17"/>
      <c r="F362" s="17">
        <v>44.6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2110.5</v>
      </c>
      <c r="F363" s="17"/>
      <c r="G363" s="24">
        <v>1050.88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113.59</v>
      </c>
      <c r="E364" s="26"/>
      <c r="F364" s="17">
        <v>39.47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1419.88</v>
      </c>
      <c r="F365" s="17"/>
      <c r="G365" s="17">
        <v>493.38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0</v>
      </c>
      <c r="F389" s="17"/>
      <c r="G389" s="17">
        <v>0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710.25</v>
      </c>
      <c r="F391" s="17"/>
      <c r="G391" s="17">
        <v>186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56.82</v>
      </c>
      <c r="E392" s="17"/>
      <c r="F392" s="17">
        <v>14.88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2359.13</v>
      </c>
      <c r="F393" s="17"/>
      <c r="G393" s="17">
        <v>455.13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131.91</v>
      </c>
      <c r="E394" s="17"/>
      <c r="F394" s="17">
        <v>21.53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2891.13</v>
      </c>
      <c r="F395" s="17"/>
      <c r="G395" s="17">
        <v>501.25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99.38</v>
      </c>
      <c r="E396" s="17"/>
      <c r="F396" s="17">
        <v>18.57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2639.25</v>
      </c>
      <c r="F397" s="17"/>
      <c r="G397" s="17">
        <v>436.5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111.76</v>
      </c>
      <c r="E398" s="17"/>
      <c r="F398" s="17">
        <v>16.35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2489.88</v>
      </c>
      <c r="F399" s="17"/>
      <c r="G399" s="17">
        <v>364.13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87.43</v>
      </c>
      <c r="E400" s="17"/>
      <c r="F400" s="17">
        <v>12.78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2191</v>
      </c>
      <c r="F401" s="17"/>
      <c r="G401" s="17">
        <v>338.63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87.85</v>
      </c>
      <c r="E402" s="17"/>
      <c r="F402" s="17">
        <v>14.31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2531.13</v>
      </c>
      <c r="F403" s="17"/>
      <c r="G403" s="17">
        <v>391.88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114.64</v>
      </c>
      <c r="E404" s="17"/>
      <c r="F404" s="17">
        <v>17.04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2883.5</v>
      </c>
      <c r="F405" s="17"/>
      <c r="G405" s="17">
        <v>453.88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116.04</v>
      </c>
      <c r="E406" s="17"/>
      <c r="F406" s="17">
        <v>19.27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2447.5</v>
      </c>
      <c r="F407" s="17"/>
      <c r="G407" s="17">
        <v>486.38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79.76</v>
      </c>
      <c r="E408" s="17"/>
      <c r="F408" s="17">
        <v>19.64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2096.5</v>
      </c>
      <c r="F409" s="17"/>
      <c r="G409" s="17">
        <v>472.25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87.96</v>
      </c>
      <c r="E410" s="17"/>
      <c r="F410" s="17">
        <v>18.14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3717.75</v>
      </c>
      <c r="F411" s="17"/>
      <c r="G411" s="17">
        <v>442.88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209.46</v>
      </c>
      <c r="E412" s="17"/>
      <c r="F412" s="17">
        <v>17.29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4993.63</v>
      </c>
      <c r="F413" s="17"/>
      <c r="G413" s="17">
        <v>396.88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190.03</v>
      </c>
      <c r="E414" s="17"/>
      <c r="F414" s="17">
        <v>14.46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5265.13</v>
      </c>
      <c r="F415" s="17"/>
      <c r="G415" s="17">
        <v>350.25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231.18</v>
      </c>
      <c r="E416" s="17"/>
      <c r="F416" s="17">
        <v>13.56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5586</v>
      </c>
      <c r="F417" s="17"/>
      <c r="G417" s="17">
        <v>306.38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215.7</v>
      </c>
      <c r="E418" s="17"/>
      <c r="F418" s="17">
        <v>10.95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7391.88</v>
      </c>
      <c r="F419" s="17"/>
      <c r="G419" s="17">
        <v>333.63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375.65</v>
      </c>
      <c r="E420" s="17"/>
      <c r="F420" s="17">
        <v>15.74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11955.75</v>
      </c>
      <c r="F421" s="17"/>
      <c r="G421" s="17">
        <v>455.88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580.81</v>
      </c>
      <c r="E422" s="17"/>
      <c r="F422" s="17">
        <v>20.73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16642.25</v>
      </c>
      <c r="F423" s="17"/>
      <c r="G423" s="17">
        <v>560.88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750.57</v>
      </c>
      <c r="E424" s="17"/>
      <c r="F424" s="17">
        <v>24.14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18924.75</v>
      </c>
      <c r="F425" s="17"/>
      <c r="G425" s="17">
        <v>994.88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763.41</v>
      </c>
      <c r="E426" s="17"/>
      <c r="F426" s="17">
        <v>55.45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20191.63</v>
      </c>
      <c r="F427" s="17"/>
      <c r="G427" s="17">
        <v>1574.38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851.92</v>
      </c>
      <c r="E428" s="17"/>
      <c r="F428" s="17">
        <v>70.5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19877.5</v>
      </c>
      <c r="F429" s="17"/>
      <c r="G429" s="17">
        <v>1933.75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738.28</v>
      </c>
      <c r="E430" s="17"/>
      <c r="F430" s="17">
        <v>84.2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18800.63</v>
      </c>
      <c r="F431" s="17"/>
      <c r="G431" s="17">
        <v>2018.25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765.77</v>
      </c>
      <c r="E432" s="17"/>
      <c r="F432" s="17">
        <v>77.26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17962.25</v>
      </c>
      <c r="F433" s="17"/>
      <c r="G433" s="17">
        <v>1832.25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671.21</v>
      </c>
      <c r="E434" s="17"/>
      <c r="F434" s="17">
        <v>69.32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15635</v>
      </c>
      <c r="F435" s="17"/>
      <c r="G435" s="17">
        <v>1617.13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579.59</v>
      </c>
      <c r="E436" s="17"/>
      <c r="F436" s="17">
        <v>60.05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13825.25</v>
      </c>
      <c r="F437" s="17"/>
      <c r="G437" s="17">
        <v>1363.88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526.43</v>
      </c>
      <c r="E438" s="17"/>
      <c r="F438" s="17">
        <v>49.06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12738.63</v>
      </c>
      <c r="F439" s="17"/>
      <c r="G439" s="17">
        <v>1264.63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492.66</v>
      </c>
      <c r="E440" s="17"/>
      <c r="F440" s="17">
        <v>52.11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11887.63</v>
      </c>
      <c r="F441" s="17"/>
      <c r="G441" s="17">
        <v>1237.5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458.35</v>
      </c>
      <c r="E442" s="17"/>
      <c r="F442" s="17">
        <v>46.89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11996.38</v>
      </c>
      <c r="F443" s="17"/>
      <c r="G443" s="17">
        <v>1132.38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501.36</v>
      </c>
      <c r="E444" s="17"/>
      <c r="F444" s="17">
        <v>43.7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14448.75</v>
      </c>
      <c r="F445" s="17"/>
      <c r="G445" s="17">
        <v>1495.25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654.54</v>
      </c>
      <c r="E446" s="17"/>
      <c r="F446" s="17">
        <v>75.92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16319.63</v>
      </c>
      <c r="F447" s="17"/>
      <c r="G447" s="17">
        <v>1822.13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651.03</v>
      </c>
      <c r="E448" s="17"/>
      <c r="F448" s="17">
        <v>69.85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13512</v>
      </c>
      <c r="F449" s="17"/>
      <c r="G449" s="17">
        <v>1110.75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429.93</v>
      </c>
      <c r="E450" s="17"/>
      <c r="F450" s="17">
        <v>19.01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11058.25</v>
      </c>
      <c r="F451" s="17"/>
      <c r="G451" s="17">
        <v>484.5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454.73</v>
      </c>
      <c r="E452" s="17"/>
      <c r="F452" s="17">
        <v>19.75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9269.38</v>
      </c>
      <c r="F453" s="17"/>
      <c r="G453" s="17">
        <v>490.25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286.82</v>
      </c>
      <c r="E454" s="17"/>
      <c r="F454" s="17">
        <v>19.47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8059.38</v>
      </c>
      <c r="F455" s="17"/>
      <c r="G455" s="17">
        <v>498.38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357.93</v>
      </c>
      <c r="E456" s="17"/>
      <c r="F456" s="17">
        <v>20.4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10509.63</v>
      </c>
      <c r="F457" s="17"/>
      <c r="G457" s="17">
        <v>506.5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482.84</v>
      </c>
      <c r="E458" s="17"/>
      <c r="F458" s="17">
        <v>20.12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13219.75</v>
      </c>
      <c r="F459" s="17"/>
      <c r="G459" s="17">
        <v>934.88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574.74</v>
      </c>
      <c r="E460" s="17"/>
      <c r="F460" s="17">
        <v>54.67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14256.13</v>
      </c>
      <c r="F461" s="17"/>
      <c r="G461" s="17">
        <v>1463.25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565.75</v>
      </c>
      <c r="E462" s="17"/>
      <c r="F462" s="17">
        <v>62.39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11413</v>
      </c>
      <c r="F463" s="17"/>
      <c r="G463" s="17">
        <v>1269.13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347.29</v>
      </c>
      <c r="E464" s="17"/>
      <c r="F464" s="17">
        <v>39.14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9488.63</v>
      </c>
      <c r="F465" s="17"/>
      <c r="G465" s="17">
        <v>1218.63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411.8</v>
      </c>
      <c r="E466" s="17"/>
      <c r="F466" s="17">
        <v>58.35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11053</v>
      </c>
      <c r="F467" s="17"/>
      <c r="G467" s="17">
        <v>1524.38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472.44</v>
      </c>
      <c r="E468" s="17"/>
      <c r="F468" s="17">
        <v>63.6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13310.88</v>
      </c>
      <c r="F469" s="17"/>
      <c r="G469" s="17">
        <v>1824.63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592.43</v>
      </c>
      <c r="E470" s="17"/>
      <c r="F470" s="17">
        <v>82.37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14846.13</v>
      </c>
      <c r="F471" s="17"/>
      <c r="G471" s="17">
        <v>2074.75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595.26</v>
      </c>
      <c r="E472" s="17"/>
      <c r="F472" s="17">
        <v>83.61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13894.38</v>
      </c>
      <c r="F473" s="17"/>
      <c r="G473" s="17">
        <v>2030.75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516.29</v>
      </c>
      <c r="E474" s="17"/>
      <c r="F474" s="17">
        <v>78.85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12397.63</v>
      </c>
      <c r="F475" s="17"/>
      <c r="G475" s="17">
        <v>1913.38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475.52</v>
      </c>
      <c r="E476" s="17"/>
      <c r="F476" s="17">
        <v>74.22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11461.5</v>
      </c>
      <c r="F477" s="17"/>
      <c r="G477" s="17">
        <v>1822.75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441.4</v>
      </c>
      <c r="E478" s="17"/>
      <c r="F478" s="17">
        <v>71.6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10997</v>
      </c>
      <c r="F479" s="17"/>
      <c r="G479" s="17">
        <v>1670.13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438.36</v>
      </c>
      <c r="E480" s="17"/>
      <c r="F480" s="17">
        <v>62.01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7878.63</v>
      </c>
      <c r="F481" s="17"/>
      <c r="G481" s="24">
        <v>1208.63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191.93</v>
      </c>
      <c r="E482" s="26"/>
      <c r="F482" s="17">
        <v>34.68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4784.88</v>
      </c>
      <c r="F483" s="17"/>
      <c r="G483" s="17">
        <v>905.38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190.86</v>
      </c>
      <c r="E484" s="17"/>
      <c r="F484" s="17">
        <v>37.75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4827.13</v>
      </c>
      <c r="F485" s="17"/>
      <c r="G485" s="17">
        <v>1106.25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195.31</v>
      </c>
      <c r="E486" s="17"/>
      <c r="F486" s="17">
        <v>50.75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5329.5</v>
      </c>
      <c r="F487" s="17"/>
      <c r="G487" s="17">
        <v>1534.88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231.05</v>
      </c>
      <c r="E488" s="17"/>
      <c r="F488" s="17">
        <v>72.04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4666.63</v>
      </c>
      <c r="F489" s="17"/>
      <c r="G489" s="17">
        <v>1599.5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142.28</v>
      </c>
      <c r="E490" s="17"/>
      <c r="F490" s="17">
        <v>55.92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3700.38</v>
      </c>
      <c r="F491" s="17"/>
      <c r="G491" s="17">
        <v>1298.63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153.75</v>
      </c>
      <c r="E492" s="17"/>
      <c r="F492" s="17">
        <v>47.97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4478</v>
      </c>
      <c r="F493" s="17"/>
      <c r="G493" s="17">
        <v>1148.25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204.49</v>
      </c>
      <c r="E494" s="17"/>
      <c r="F494" s="17">
        <v>43.89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5618.88</v>
      </c>
      <c r="F495" s="17"/>
      <c r="G495" s="17">
        <v>1127.63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245.02</v>
      </c>
      <c r="E496" s="17"/>
      <c r="F496" s="17">
        <v>46.32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6486</v>
      </c>
      <c r="F497" s="17"/>
      <c r="G497" s="17">
        <v>1214.75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273.86</v>
      </c>
      <c r="E498" s="17"/>
      <c r="F498" s="17">
        <v>50.86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1259542.84</v>
      </c>
      <c r="F500" s="30"/>
      <c r="G500" s="31">
        <f t="shared" si="81"/>
        <v>195164.59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Y484" sqref="Y484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299</v>
      </c>
      <c r="E7" s="7"/>
      <c r="F7" s="7"/>
      <c r="G7" s="7"/>
      <c r="H7" s="8" t="s">
        <v>300</v>
      </c>
      <c r="I7" s="7"/>
      <c r="J7" s="7"/>
      <c r="K7" s="7"/>
      <c r="L7" s="8" t="s">
        <v>301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1483.71</v>
      </c>
      <c r="F19" s="17"/>
      <c r="G19" s="17">
        <v>888.85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118.7</v>
      </c>
      <c r="E20" s="17"/>
      <c r="F20" s="17">
        <v>71.11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3740.06</v>
      </c>
      <c r="F21" s="17"/>
      <c r="G21" s="17">
        <v>2017.76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180.51</v>
      </c>
      <c r="E22" s="17"/>
      <c r="F22" s="17">
        <v>90.31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4632.85</v>
      </c>
      <c r="F23" s="17"/>
      <c r="G23" s="17">
        <v>2096.53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190.12</v>
      </c>
      <c r="E24" s="17"/>
      <c r="F24" s="17">
        <v>77.41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4687.21</v>
      </c>
      <c r="F25" s="17"/>
      <c r="G25" s="17">
        <v>1846.9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184.86</v>
      </c>
      <c r="E26" s="17"/>
      <c r="F26" s="17">
        <v>70.34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4949.72</v>
      </c>
      <c r="F27" s="17"/>
      <c r="G27" s="17">
        <v>1450.73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211.12</v>
      </c>
      <c r="E28" s="17"/>
      <c r="F28" s="17">
        <v>45.72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5505.77</v>
      </c>
      <c r="F29" s="17"/>
      <c r="G29" s="17">
        <v>1097.45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229.34</v>
      </c>
      <c r="E30" s="17"/>
      <c r="F30" s="17">
        <v>42.08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6535.93</v>
      </c>
      <c r="F31" s="17"/>
      <c r="G31" s="17">
        <v>1146.89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293.53</v>
      </c>
      <c r="E32" s="17"/>
      <c r="F32" s="17">
        <v>49.67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8240.96</v>
      </c>
      <c r="F33" s="17"/>
      <c r="G33" s="20">
        <v>1356.71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365.74</v>
      </c>
      <c r="E34" s="21"/>
      <c r="F34" s="17">
        <v>58.87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6255.48</v>
      </c>
      <c r="F35" s="17"/>
      <c r="G35" s="17">
        <v>1019.53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134.7</v>
      </c>
      <c r="E36" s="17"/>
      <c r="F36" s="17">
        <v>22.7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2672.3</v>
      </c>
      <c r="F37" s="17"/>
      <c r="G37" s="17">
        <v>433.99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79.09</v>
      </c>
      <c r="E38" s="17"/>
      <c r="F38" s="17">
        <v>12.02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988.6</v>
      </c>
      <c r="F39" s="17"/>
      <c r="G39" s="17">
        <v>150.29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771.97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61.76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2175.04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112.25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2543.89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91.27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1945.74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64.39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1329.43</v>
      </c>
      <c r="F133" s="17"/>
      <c r="G133" s="17">
        <v>21.29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41.96</v>
      </c>
      <c r="E134" s="17"/>
      <c r="F134" s="17">
        <v>1.7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1373.43</v>
      </c>
      <c r="F135" s="17"/>
      <c r="G135" s="17">
        <v>94.67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67.91</v>
      </c>
      <c r="E136" s="17"/>
      <c r="F136" s="17">
        <v>5.87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1980.68</v>
      </c>
      <c r="F137" s="17"/>
      <c r="G137" s="17">
        <v>178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90.54</v>
      </c>
      <c r="E138" s="17"/>
      <c r="F138" s="17">
        <v>8.37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2295.14</v>
      </c>
      <c r="F139" s="17"/>
      <c r="G139" s="17">
        <v>244.56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93.07</v>
      </c>
      <c r="E140" s="17"/>
      <c r="F140" s="17">
        <v>11.2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2948.53</v>
      </c>
      <c r="F141" s="17"/>
      <c r="G141" s="17">
        <v>382.38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142.81</v>
      </c>
      <c r="E142" s="17"/>
      <c r="F142" s="17">
        <v>19.39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2518.53</v>
      </c>
      <c r="F143" s="17"/>
      <c r="G143" s="17">
        <v>771.24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58.67</v>
      </c>
      <c r="E144" s="17"/>
      <c r="F144" s="17">
        <v>42.3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2310.17</v>
      </c>
      <c r="F145" s="17"/>
      <c r="G145" s="17">
        <v>528.81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126.14</v>
      </c>
      <c r="E146" s="17"/>
      <c r="F146" s="17">
        <v>0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4733.57</v>
      </c>
      <c r="F147" s="17"/>
      <c r="G147" s="17">
        <v>0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252.54</v>
      </c>
      <c r="E148" s="17"/>
      <c r="F148" s="17">
        <v>0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6569.65</v>
      </c>
      <c r="F149" s="17"/>
      <c r="G149" s="17">
        <v>0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273.03</v>
      </c>
      <c r="E150" s="17"/>
      <c r="F150" s="17">
        <v>0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7651.46</v>
      </c>
      <c r="F151" s="17"/>
      <c r="G151" s="17">
        <v>0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339.09</v>
      </c>
      <c r="E152" s="17"/>
      <c r="F152" s="17">
        <v>0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8611.04</v>
      </c>
      <c r="F153" s="17"/>
      <c r="G153" s="17">
        <v>0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349.8</v>
      </c>
      <c r="E154" s="17"/>
      <c r="F154" s="17">
        <v>0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9076.62</v>
      </c>
      <c r="F155" s="17"/>
      <c r="G155" s="17">
        <v>0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376.33</v>
      </c>
      <c r="E156" s="17"/>
      <c r="F156" s="17">
        <v>0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9355.57</v>
      </c>
      <c r="F157" s="17"/>
      <c r="G157" s="17">
        <v>28.5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372.11</v>
      </c>
      <c r="E158" s="17"/>
      <c r="F158" s="17">
        <v>2.28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9069.86</v>
      </c>
      <c r="F159" s="17"/>
      <c r="G159" s="17">
        <v>276.36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353.48</v>
      </c>
      <c r="E160" s="17"/>
      <c r="F160" s="17">
        <v>19.83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9197.15</v>
      </c>
      <c r="F161" s="17"/>
      <c r="G161" s="17">
        <v>581.07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382.3</v>
      </c>
      <c r="E162" s="17"/>
      <c r="F162" s="17">
        <v>26.66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9692.97</v>
      </c>
      <c r="F163" s="17"/>
      <c r="G163" s="17">
        <v>902.89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393.14</v>
      </c>
      <c r="E164" s="17"/>
      <c r="F164" s="17">
        <v>45.57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8899.63</v>
      </c>
      <c r="F165" s="17"/>
      <c r="G165" s="17">
        <v>1113.13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318.83</v>
      </c>
      <c r="E166" s="17"/>
      <c r="F166" s="17">
        <v>43.48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8440.23</v>
      </c>
      <c r="F167" s="17"/>
      <c r="G167" s="17">
        <v>1135.69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356.39</v>
      </c>
      <c r="E168" s="17"/>
      <c r="F168" s="17">
        <v>47.38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9079.53</v>
      </c>
      <c r="F169" s="17"/>
      <c r="G169" s="17">
        <v>1516.68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369.97</v>
      </c>
      <c r="E170" s="17"/>
      <c r="F170" s="17">
        <v>73.96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9364.32</v>
      </c>
      <c r="F171" s="17"/>
      <c r="G171" s="17">
        <v>1900.06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379.17</v>
      </c>
      <c r="E172" s="17"/>
      <c r="F172" s="17">
        <v>78.05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8466.99</v>
      </c>
      <c r="F173" s="17"/>
      <c r="G173" s="17">
        <v>1799.08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298.19</v>
      </c>
      <c r="E174" s="17"/>
      <c r="F174" s="17">
        <v>65.88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7731.18</v>
      </c>
      <c r="F175" s="17"/>
      <c r="G175" s="17">
        <v>1777.68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320.31</v>
      </c>
      <c r="E176" s="17"/>
      <c r="F176" s="17">
        <v>76.34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7503.61</v>
      </c>
      <c r="F177" s="17"/>
      <c r="G177" s="17">
        <v>1835.85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279.98</v>
      </c>
      <c r="E178" s="17"/>
      <c r="F178" s="17">
        <v>70.53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6733.12</v>
      </c>
      <c r="F179" s="17"/>
      <c r="G179" s="17">
        <v>1790.8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258.67</v>
      </c>
      <c r="E180" s="17"/>
      <c r="F180" s="17">
        <v>72.73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5288.66</v>
      </c>
      <c r="F181" s="17"/>
      <c r="G181" s="17">
        <v>1991.33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164.42</v>
      </c>
      <c r="E182" s="17"/>
      <c r="F182" s="17">
        <v>86.57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3622.12</v>
      </c>
      <c r="F183" s="17"/>
      <c r="G183" s="17">
        <v>2109.83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125.35</v>
      </c>
      <c r="E184" s="17"/>
      <c r="F184" s="17">
        <v>82.21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3231.92</v>
      </c>
      <c r="F185" s="17"/>
      <c r="G185" s="17">
        <v>1999.11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133.21</v>
      </c>
      <c r="E186" s="17"/>
      <c r="F186" s="17">
        <v>77.72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3251.39</v>
      </c>
      <c r="F187" s="17"/>
      <c r="G187" s="17">
        <v>1915.47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126.91</v>
      </c>
      <c r="E188" s="17"/>
      <c r="F188" s="17">
        <v>75.52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2955.16</v>
      </c>
      <c r="F189" s="17"/>
      <c r="G189" s="17">
        <v>1677.01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109.51</v>
      </c>
      <c r="E190" s="17"/>
      <c r="F190" s="17">
        <v>58.64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2792.56</v>
      </c>
      <c r="F191" s="17"/>
      <c r="G191" s="17">
        <v>1088.67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113.9</v>
      </c>
      <c r="E192" s="17"/>
      <c r="F192" s="17">
        <v>28.45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2781.94</v>
      </c>
      <c r="F193" s="17"/>
      <c r="G193" s="17">
        <v>674.33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108.66</v>
      </c>
      <c r="E194" s="17"/>
      <c r="F194" s="17">
        <v>25.49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2353.71</v>
      </c>
      <c r="F195" s="17"/>
      <c r="G195" s="17">
        <v>453.34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79.64</v>
      </c>
      <c r="E196" s="17"/>
      <c r="F196" s="17">
        <v>10.78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3823.82</v>
      </c>
      <c r="F197" s="17"/>
      <c r="G197" s="17">
        <v>403.99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226.27</v>
      </c>
      <c r="E198" s="17"/>
      <c r="F198" s="17">
        <v>21.54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5099.49</v>
      </c>
      <c r="F199" s="17"/>
      <c r="G199" s="17">
        <v>640.52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181.69</v>
      </c>
      <c r="E200" s="17"/>
      <c r="F200" s="17">
        <v>29.7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6024.1</v>
      </c>
      <c r="F201" s="17"/>
      <c r="G201" s="17">
        <v>864.3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300.24</v>
      </c>
      <c r="E202" s="17"/>
      <c r="F202" s="17">
        <v>39.45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7745.33</v>
      </c>
      <c r="F203" s="17"/>
      <c r="G203" s="17">
        <v>1029.76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319.39</v>
      </c>
      <c r="E204" s="17"/>
      <c r="F204" s="17">
        <v>42.93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7208.67</v>
      </c>
      <c r="F205" s="17"/>
      <c r="G205" s="17">
        <v>1082.92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257.3</v>
      </c>
      <c r="E206" s="17"/>
      <c r="F206" s="17">
        <v>43.7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7164.19</v>
      </c>
      <c r="F207" s="17"/>
      <c r="G207" s="17">
        <v>1138.85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315.83</v>
      </c>
      <c r="E208" s="17"/>
      <c r="F208" s="17">
        <v>47.41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7959.74</v>
      </c>
      <c r="F209" s="17"/>
      <c r="G209" s="17">
        <v>1198.16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320.95</v>
      </c>
      <c r="E210" s="17"/>
      <c r="F210" s="17">
        <v>48.44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8326.81</v>
      </c>
      <c r="F211" s="17"/>
      <c r="G211" s="17">
        <v>1187.97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345.2</v>
      </c>
      <c r="E212" s="17"/>
      <c r="F212" s="17">
        <v>46.59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8927.93</v>
      </c>
      <c r="F213" s="17"/>
      <c r="G213" s="17">
        <v>1155.73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369.04</v>
      </c>
      <c r="E214" s="17"/>
      <c r="F214" s="17">
        <v>45.86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8579.45</v>
      </c>
      <c r="F215" s="17"/>
      <c r="G215" s="17">
        <v>1054.22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317.32</v>
      </c>
      <c r="E216" s="17"/>
      <c r="F216" s="17">
        <v>38.47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6977.47</v>
      </c>
      <c r="F217" s="17"/>
      <c r="G217" s="17">
        <v>874.41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240.88</v>
      </c>
      <c r="E218" s="17"/>
      <c r="F218" s="17">
        <v>31.48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5665.79</v>
      </c>
      <c r="F219" s="17"/>
      <c r="G219" s="17">
        <v>714.93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212.39</v>
      </c>
      <c r="E220" s="17"/>
      <c r="F220" s="17">
        <v>25.71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4817.94</v>
      </c>
      <c r="F221" s="17"/>
      <c r="G221" s="17">
        <v>573.03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173.05</v>
      </c>
      <c r="E222" s="17"/>
      <c r="F222" s="17">
        <v>20.13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3975.26</v>
      </c>
      <c r="F223" s="17"/>
      <c r="G223" s="17">
        <v>432.6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144.97</v>
      </c>
      <c r="E224" s="17"/>
      <c r="F224" s="17">
        <v>14.48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3594.57</v>
      </c>
      <c r="F225" s="17"/>
      <c r="G225" s="17">
        <v>364.59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142.59</v>
      </c>
      <c r="E226" s="17"/>
      <c r="F226" s="17">
        <v>14.69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3634.43</v>
      </c>
      <c r="F227" s="17"/>
      <c r="G227" s="17">
        <v>378.55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148.16</v>
      </c>
      <c r="E228" s="17"/>
      <c r="F228" s="17">
        <v>15.6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4217.27</v>
      </c>
      <c r="F229" s="17"/>
      <c r="G229" s="17">
        <v>423.48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189.22</v>
      </c>
      <c r="E230" s="17"/>
      <c r="F230" s="17">
        <v>18.28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4030.2</v>
      </c>
      <c r="F231" s="17"/>
      <c r="G231" s="17">
        <v>386.53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133.19</v>
      </c>
      <c r="E232" s="17"/>
      <c r="F232" s="17">
        <v>12.64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1820.18</v>
      </c>
      <c r="F233" s="17"/>
      <c r="G233" s="17">
        <v>201.03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12.42</v>
      </c>
      <c r="E234" s="17"/>
      <c r="F234" s="17">
        <v>3.44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155.25</v>
      </c>
      <c r="F235" s="17"/>
      <c r="G235" s="17">
        <v>43.04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1779.63</v>
      </c>
      <c r="F249" s="17"/>
      <c r="G249" s="17">
        <v>336.88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142.37</v>
      </c>
      <c r="E250" s="17"/>
      <c r="F250" s="17">
        <v>26.95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5678.13</v>
      </c>
      <c r="F251" s="17"/>
      <c r="G251" s="17">
        <v>977.13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311.88</v>
      </c>
      <c r="E252" s="17"/>
      <c r="F252" s="17">
        <v>51.22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9125.63</v>
      </c>
      <c r="F253" s="17"/>
      <c r="G253" s="17">
        <v>1424.63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418.17</v>
      </c>
      <c r="E254" s="17"/>
      <c r="F254" s="17">
        <v>62.75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10143.38</v>
      </c>
      <c r="F255" s="17"/>
      <c r="G255" s="17">
        <v>1484.13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393.3</v>
      </c>
      <c r="E256" s="17"/>
      <c r="F256" s="17">
        <v>55.98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9196</v>
      </c>
      <c r="F257" s="17"/>
      <c r="G257" s="17">
        <v>1378.75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342.38</v>
      </c>
      <c r="E258" s="17"/>
      <c r="F258" s="17">
        <v>54.32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8373.13</v>
      </c>
      <c r="F259" s="17"/>
      <c r="G259" s="17">
        <v>1261.63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327.47</v>
      </c>
      <c r="E260" s="17"/>
      <c r="F260" s="17">
        <v>46.61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8175.5</v>
      </c>
      <c r="F261" s="17"/>
      <c r="G261" s="17">
        <v>1183.75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326.57</v>
      </c>
      <c r="E262" s="17"/>
      <c r="F262" s="17">
        <v>48.09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7458.25</v>
      </c>
      <c r="F263" s="17"/>
      <c r="G263" s="17">
        <v>1132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270.09</v>
      </c>
      <c r="E264" s="17"/>
      <c r="F264" s="17">
        <v>42.47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6812.38</v>
      </c>
      <c r="F265" s="17"/>
      <c r="G265" s="17">
        <v>1067.75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274.9</v>
      </c>
      <c r="E266" s="17"/>
      <c r="F266" s="17">
        <v>42.95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6768.88</v>
      </c>
      <c r="F267" s="17"/>
      <c r="G267" s="17">
        <v>1087.5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266.61</v>
      </c>
      <c r="E268" s="17"/>
      <c r="F268" s="17">
        <v>44.05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5365.75</v>
      </c>
      <c r="F269" s="17"/>
      <c r="G269" s="17">
        <v>897.13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162.65</v>
      </c>
      <c r="E270" s="17"/>
      <c r="F270" s="17">
        <v>27.72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3847</v>
      </c>
      <c r="F271" s="17"/>
      <c r="G271" s="17">
        <v>682.88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145.11</v>
      </c>
      <c r="E272" s="17"/>
      <c r="F272" s="17">
        <v>26.91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3771.63</v>
      </c>
      <c r="F273" s="17"/>
      <c r="G273" s="17">
        <v>686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156.62</v>
      </c>
      <c r="E274" s="17"/>
      <c r="F274" s="17">
        <v>27.97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3837.5</v>
      </c>
      <c r="F275" s="17"/>
      <c r="G275" s="17">
        <v>646.25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150.38</v>
      </c>
      <c r="E276" s="17"/>
      <c r="F276" s="17">
        <v>23.73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3374.38</v>
      </c>
      <c r="F277" s="17"/>
      <c r="G277" s="17">
        <v>553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119.57</v>
      </c>
      <c r="E278" s="17"/>
      <c r="F278" s="17">
        <v>20.51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3160.75</v>
      </c>
      <c r="F279" s="17"/>
      <c r="G279" s="17">
        <v>580.25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133.29</v>
      </c>
      <c r="E280" s="17"/>
      <c r="F280" s="17">
        <v>25.91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3487.63</v>
      </c>
      <c r="F281" s="17"/>
      <c r="G281" s="17">
        <v>706.75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145.72</v>
      </c>
      <c r="E282" s="17"/>
      <c r="F282" s="17">
        <v>30.63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4109.5</v>
      </c>
      <c r="F283" s="17"/>
      <c r="G283" s="17">
        <v>850.5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183.04</v>
      </c>
      <c r="E284" s="17"/>
      <c r="F284" s="17">
        <v>37.41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5274.88</v>
      </c>
      <c r="F285" s="17"/>
      <c r="G285" s="17">
        <v>999.75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238.95</v>
      </c>
      <c r="E286" s="17"/>
      <c r="F286" s="17">
        <v>42.57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6447.75</v>
      </c>
      <c r="F287" s="17"/>
      <c r="G287" s="17">
        <v>1183.25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276.87</v>
      </c>
      <c r="E288" s="17"/>
      <c r="F288" s="17">
        <v>52.09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6264.88</v>
      </c>
      <c r="F289" s="17"/>
      <c r="G289" s="17">
        <v>1168.38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224.32</v>
      </c>
      <c r="E290" s="17"/>
      <c r="F290" s="17">
        <v>41.38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5432</v>
      </c>
      <c r="F291" s="17"/>
      <c r="G291" s="17">
        <v>992.75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210.24</v>
      </c>
      <c r="E292" s="17"/>
      <c r="F292" s="17">
        <v>38.04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4886.88</v>
      </c>
      <c r="F293" s="17"/>
      <c r="G293" s="17">
        <v>883.5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180.71</v>
      </c>
      <c r="E294" s="17"/>
      <c r="F294" s="17">
        <v>32.64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4327.88</v>
      </c>
      <c r="F295" s="17"/>
      <c r="G295" s="17">
        <v>775.88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165.52</v>
      </c>
      <c r="E296" s="17"/>
      <c r="F296" s="17">
        <v>29.43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4188.38</v>
      </c>
      <c r="F297" s="17"/>
      <c r="G297" s="17">
        <v>717.63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169.55</v>
      </c>
      <c r="E298" s="17"/>
      <c r="F298" s="17">
        <v>27.98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4174.25</v>
      </c>
      <c r="F299" s="17"/>
      <c r="G299" s="17">
        <v>693.75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164.39</v>
      </c>
      <c r="E300" s="17"/>
      <c r="F300" s="17">
        <v>27.52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4053</v>
      </c>
      <c r="F301" s="17"/>
      <c r="G301" s="17">
        <v>681.88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159.85</v>
      </c>
      <c r="E302" s="17"/>
      <c r="F302" s="17">
        <v>27.03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5113.5</v>
      </c>
      <c r="F303" s="17"/>
      <c r="G303" s="17">
        <v>789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249.23</v>
      </c>
      <c r="E304" s="17"/>
      <c r="F304" s="17">
        <v>36.09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6867.13</v>
      </c>
      <c r="F305" s="17"/>
      <c r="G305" s="17">
        <v>1017.63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300.14</v>
      </c>
      <c r="E306" s="17"/>
      <c r="F306" s="17">
        <v>45.32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7490.13</v>
      </c>
      <c r="F307" s="17"/>
      <c r="G307" s="17">
        <v>1137.88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299.07</v>
      </c>
      <c r="E308" s="17"/>
      <c r="F308" s="17">
        <v>45.71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7089</v>
      </c>
      <c r="F309" s="17"/>
      <c r="G309" s="17">
        <v>1121.63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268.05</v>
      </c>
      <c r="E310" s="17"/>
      <c r="F310" s="17">
        <v>44.02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6481.75</v>
      </c>
      <c r="F311" s="17"/>
      <c r="G311" s="17">
        <v>1091.63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250.49</v>
      </c>
      <c r="E312" s="17"/>
      <c r="F312" s="17">
        <v>43.31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7334.88</v>
      </c>
      <c r="F313" s="17"/>
      <c r="G313" s="17">
        <v>1175.75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336.3</v>
      </c>
      <c r="E314" s="17"/>
      <c r="F314" s="17">
        <v>50.75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9150.75</v>
      </c>
      <c r="F315" s="17"/>
      <c r="G315" s="17">
        <v>1352.75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395.76</v>
      </c>
      <c r="E316" s="17"/>
      <c r="F316" s="17">
        <v>57.47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10421.25</v>
      </c>
      <c r="F317" s="17"/>
      <c r="G317" s="17">
        <v>1726.25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437.94</v>
      </c>
      <c r="E318" s="17"/>
      <c r="F318" s="17">
        <v>80.63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10658</v>
      </c>
      <c r="F319" s="17"/>
      <c r="G319" s="17">
        <v>2604.13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414.7</v>
      </c>
      <c r="E320" s="17"/>
      <c r="F320" s="17">
        <v>127.7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11734.88</v>
      </c>
      <c r="F321" s="17"/>
      <c r="G321" s="17">
        <v>2876.5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524.09</v>
      </c>
      <c r="E322" s="17"/>
      <c r="F322" s="17">
        <v>102.42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12365.5</v>
      </c>
      <c r="F323" s="17"/>
      <c r="G323" s="17">
        <v>2541.13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465.15</v>
      </c>
      <c r="E324" s="17"/>
      <c r="F324" s="17">
        <v>100.87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11163.13</v>
      </c>
      <c r="F325" s="17"/>
      <c r="G325" s="17">
        <v>2351.5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427.9</v>
      </c>
      <c r="E326" s="17"/>
      <c r="F326" s="17">
        <v>87.25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9721.63</v>
      </c>
      <c r="F327" s="17"/>
      <c r="G327" s="17">
        <v>2180.13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349.83</v>
      </c>
      <c r="E328" s="17"/>
      <c r="F328" s="17">
        <v>87.16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8701.88</v>
      </c>
      <c r="F329" s="17"/>
      <c r="G329" s="17">
        <v>2267.25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346.32</v>
      </c>
      <c r="E330" s="17"/>
      <c r="F330" s="17">
        <v>94.22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8693.75</v>
      </c>
      <c r="F331" s="17"/>
      <c r="G331" s="17">
        <v>2226.5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349.18</v>
      </c>
      <c r="E332" s="17"/>
      <c r="F332" s="17">
        <v>83.9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8234.75</v>
      </c>
      <c r="F333" s="17"/>
      <c r="G333" s="17">
        <v>2581.38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309.6</v>
      </c>
      <c r="E334" s="17"/>
      <c r="F334" s="17">
        <v>122.61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6515.38</v>
      </c>
      <c r="F335" s="17"/>
      <c r="G335" s="17">
        <v>2833.5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211.63</v>
      </c>
      <c r="E336" s="17"/>
      <c r="F336" s="17">
        <v>104.07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5457.25</v>
      </c>
      <c r="F337" s="17"/>
      <c r="G337" s="17">
        <v>2630.13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224.95</v>
      </c>
      <c r="E338" s="17"/>
      <c r="F338" s="17">
        <v>106.34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6119.38</v>
      </c>
      <c r="F339" s="17"/>
      <c r="G339" s="17">
        <v>2669.63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264.6</v>
      </c>
      <c r="E340" s="17"/>
      <c r="F340" s="17">
        <v>107.23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6497.38</v>
      </c>
      <c r="F341" s="17"/>
      <c r="G341" s="17">
        <v>2586.75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255.19</v>
      </c>
      <c r="E342" s="17"/>
      <c r="F342" s="17">
        <v>99.71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6257.88</v>
      </c>
      <c r="F343" s="17"/>
      <c r="G343" s="17">
        <v>2509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245.44</v>
      </c>
      <c r="E344" s="17"/>
      <c r="F344" s="17">
        <v>101.01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5758.5</v>
      </c>
      <c r="F345" s="17"/>
      <c r="G345" s="17">
        <v>2447.63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215.24</v>
      </c>
      <c r="E346" s="17"/>
      <c r="F346" s="17">
        <v>94.8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5074</v>
      </c>
      <c r="F347" s="17"/>
      <c r="G347" s="17">
        <v>2299.13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190.68</v>
      </c>
      <c r="E348" s="17"/>
      <c r="F348" s="17">
        <v>89.13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5456.5</v>
      </c>
      <c r="F349" s="17"/>
      <c r="G349" s="17">
        <v>2362.5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245.84</v>
      </c>
      <c r="E350" s="17"/>
      <c r="F350" s="17">
        <v>99.87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6656.13</v>
      </c>
      <c r="F351" s="17"/>
      <c r="G351" s="17">
        <v>2665.25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286.65</v>
      </c>
      <c r="E352" s="17"/>
      <c r="F352" s="17">
        <v>113.35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7233.63</v>
      </c>
      <c r="F353" s="17"/>
      <c r="G353" s="17">
        <v>2867.13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292.04</v>
      </c>
      <c r="E354" s="17"/>
      <c r="F354" s="17">
        <v>116.02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7093.13</v>
      </c>
      <c r="F355" s="17"/>
      <c r="G355" s="17">
        <v>2972.13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275.41</v>
      </c>
      <c r="E356" s="17"/>
      <c r="F356" s="17">
        <v>121.75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6580.38</v>
      </c>
      <c r="F357" s="17"/>
      <c r="G357" s="17">
        <v>3167.88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251.02</v>
      </c>
      <c r="E358" s="17"/>
      <c r="F358" s="17">
        <v>131.68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6514.88</v>
      </c>
      <c r="F359" s="17"/>
      <c r="G359" s="17">
        <v>2745.38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270.17</v>
      </c>
      <c r="E360" s="17"/>
      <c r="F360" s="17">
        <v>87.95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6504.25</v>
      </c>
      <c r="F361" s="17"/>
      <c r="G361" s="17">
        <v>1557.63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250.17</v>
      </c>
      <c r="E362" s="17"/>
      <c r="F362" s="17">
        <v>36.66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6391</v>
      </c>
      <c r="F363" s="17"/>
      <c r="G363" s="24">
        <v>875.5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261.11</v>
      </c>
      <c r="E364" s="26"/>
      <c r="F364" s="17">
        <v>33.38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5931.25</v>
      </c>
      <c r="F365" s="17"/>
      <c r="G365" s="17">
        <v>810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213.39</v>
      </c>
      <c r="E366" s="17"/>
      <c r="F366" s="17">
        <v>31.42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4893.25</v>
      </c>
      <c r="F367" s="17"/>
      <c r="G367" s="17">
        <v>693.63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178.07</v>
      </c>
      <c r="E368" s="17"/>
      <c r="F368" s="17">
        <v>24.07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3247.13</v>
      </c>
      <c r="F369" s="17"/>
      <c r="G369" s="17">
        <v>528.25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81.7</v>
      </c>
      <c r="E370" s="17"/>
      <c r="F370" s="17">
        <v>18.19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1475.38</v>
      </c>
      <c r="F371" s="17"/>
      <c r="G371" s="17">
        <v>377.63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36.33</v>
      </c>
      <c r="E372" s="17"/>
      <c r="F372" s="17">
        <v>12.02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1811.63</v>
      </c>
      <c r="F373" s="17"/>
      <c r="G373" s="17">
        <v>348.38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108.6</v>
      </c>
      <c r="E374" s="17"/>
      <c r="F374" s="17">
        <v>15.85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2838</v>
      </c>
      <c r="F375" s="17"/>
      <c r="G375" s="17">
        <v>437.88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118.44</v>
      </c>
      <c r="E376" s="17"/>
      <c r="F376" s="17">
        <v>19.18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3222.88</v>
      </c>
      <c r="F377" s="17"/>
      <c r="G377" s="17">
        <v>506.25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139.39</v>
      </c>
      <c r="E378" s="17"/>
      <c r="F378" s="17">
        <v>21.32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3081.75</v>
      </c>
      <c r="F379" s="17"/>
      <c r="G379" s="17">
        <v>467.63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107.15</v>
      </c>
      <c r="E380" s="17"/>
      <c r="F380" s="17">
        <v>16.09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2306.5</v>
      </c>
      <c r="F381" s="17"/>
      <c r="G381" s="17">
        <v>338.63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77.37</v>
      </c>
      <c r="E382" s="17"/>
      <c r="F382" s="17">
        <v>11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1709.88</v>
      </c>
      <c r="F383" s="17"/>
      <c r="G383" s="17">
        <v>219.13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59.42</v>
      </c>
      <c r="E384" s="17"/>
      <c r="F384" s="17">
        <v>6.53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1646.13</v>
      </c>
      <c r="F385" s="17"/>
      <c r="G385" s="17">
        <v>214.38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72.27</v>
      </c>
      <c r="E386" s="17"/>
      <c r="F386" s="17">
        <v>10.62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2082.88</v>
      </c>
      <c r="F387" s="17"/>
      <c r="G387" s="17">
        <v>320.5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94.36</v>
      </c>
      <c r="E388" s="17"/>
      <c r="F388" s="17">
        <v>15.02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2666.88</v>
      </c>
      <c r="F389" s="17"/>
      <c r="G389" s="17">
        <v>435.13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118.99</v>
      </c>
      <c r="E390" s="17"/>
      <c r="F390" s="17">
        <v>19.79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3189.75</v>
      </c>
      <c r="F391" s="17"/>
      <c r="G391" s="17">
        <v>493.25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136.19</v>
      </c>
      <c r="E392" s="17"/>
      <c r="F392" s="17">
        <v>19.67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3801</v>
      </c>
      <c r="F393" s="17"/>
      <c r="G393" s="17">
        <v>496.25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167.89</v>
      </c>
      <c r="E394" s="17"/>
      <c r="F394" s="17">
        <v>20.03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4154.63</v>
      </c>
      <c r="F395" s="17"/>
      <c r="G395" s="17">
        <v>517.75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164.48</v>
      </c>
      <c r="E396" s="17"/>
      <c r="F396" s="17">
        <v>21.39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4030.63</v>
      </c>
      <c r="F397" s="17"/>
      <c r="G397" s="17">
        <v>552.38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157.97</v>
      </c>
      <c r="E398" s="17"/>
      <c r="F398" s="17">
        <v>22.8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3950.88</v>
      </c>
      <c r="F399" s="17"/>
      <c r="G399" s="17">
        <v>596.13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158.1</v>
      </c>
      <c r="E400" s="17"/>
      <c r="F400" s="17">
        <v>24.89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4197.13</v>
      </c>
      <c r="F401" s="17"/>
      <c r="G401" s="17">
        <v>612.75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177.67</v>
      </c>
      <c r="E402" s="17"/>
      <c r="F402" s="17">
        <v>24.13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4655.38</v>
      </c>
      <c r="F403" s="17"/>
      <c r="G403" s="17">
        <v>597.25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194.76</v>
      </c>
      <c r="E404" s="17"/>
      <c r="F404" s="17">
        <v>23.65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4399.5</v>
      </c>
      <c r="F405" s="17"/>
      <c r="G405" s="17">
        <v>586.25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157.2</v>
      </c>
      <c r="E406" s="17"/>
      <c r="F406" s="17">
        <v>23.25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4154.75</v>
      </c>
      <c r="F407" s="17"/>
      <c r="G407" s="17">
        <v>577.63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175.18</v>
      </c>
      <c r="E408" s="17"/>
      <c r="F408" s="17">
        <v>22.96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3893.63</v>
      </c>
      <c r="F409" s="17"/>
      <c r="G409" s="17">
        <v>553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136.31</v>
      </c>
      <c r="E410" s="17"/>
      <c r="F410" s="17">
        <v>21.28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3485.38</v>
      </c>
      <c r="F411" s="17"/>
      <c r="G411" s="17">
        <v>547.75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142.52</v>
      </c>
      <c r="E412" s="17"/>
      <c r="F412" s="17">
        <v>22.54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5958.5</v>
      </c>
      <c r="F413" s="17"/>
      <c r="G413" s="17">
        <v>537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334.16</v>
      </c>
      <c r="E414" s="17"/>
      <c r="F414" s="17">
        <v>20.42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8153.88</v>
      </c>
      <c r="F415" s="17"/>
      <c r="G415" s="17">
        <v>481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318.15</v>
      </c>
      <c r="E416" s="17"/>
      <c r="F416" s="17">
        <v>18.06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7760.38</v>
      </c>
      <c r="F417" s="17"/>
      <c r="G417" s="17">
        <v>432.38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302.68</v>
      </c>
      <c r="E418" s="17"/>
      <c r="F418" s="17">
        <v>16.53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6989.38</v>
      </c>
      <c r="F419" s="17"/>
      <c r="G419" s="17">
        <v>405.25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256.47</v>
      </c>
      <c r="E420" s="17"/>
      <c r="F420" s="17">
        <v>15.89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5266.13</v>
      </c>
      <c r="F421" s="17"/>
      <c r="G421" s="17">
        <v>397.75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164.82</v>
      </c>
      <c r="E422" s="17"/>
      <c r="F422" s="17">
        <v>15.93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3531</v>
      </c>
      <c r="F423" s="17"/>
      <c r="G423" s="17">
        <v>394.63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117.66</v>
      </c>
      <c r="E424" s="17"/>
      <c r="F424" s="17">
        <v>15.64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4167.63</v>
      </c>
      <c r="F425" s="17"/>
      <c r="G425" s="17">
        <v>489.63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215.75</v>
      </c>
      <c r="E426" s="17"/>
      <c r="F426" s="17">
        <v>23.53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5530.63</v>
      </c>
      <c r="F427" s="17"/>
      <c r="G427" s="17">
        <v>673.25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226.7</v>
      </c>
      <c r="E428" s="17"/>
      <c r="F428" s="17">
        <v>30.33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6997.88</v>
      </c>
      <c r="F429" s="17"/>
      <c r="G429" s="17">
        <v>983.63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333.13</v>
      </c>
      <c r="E430" s="17"/>
      <c r="F430" s="17">
        <v>48.36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6956.38</v>
      </c>
      <c r="F431" s="17"/>
      <c r="G431" s="17">
        <v>1031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223.38</v>
      </c>
      <c r="E432" s="17"/>
      <c r="F432" s="17">
        <v>34.12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5002.75</v>
      </c>
      <c r="F433" s="17"/>
      <c r="G433" s="17">
        <v>786.13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176.84</v>
      </c>
      <c r="E434" s="17"/>
      <c r="F434" s="17">
        <v>28.77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4483.38</v>
      </c>
      <c r="F435" s="17"/>
      <c r="G435" s="17">
        <v>665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181.83</v>
      </c>
      <c r="E436" s="17"/>
      <c r="F436" s="17">
        <v>24.43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4850.25</v>
      </c>
      <c r="F437" s="17"/>
      <c r="G437" s="17">
        <v>617.88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206.19</v>
      </c>
      <c r="E438" s="17"/>
      <c r="F438" s="17">
        <v>25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4765.63</v>
      </c>
      <c r="F439" s="17"/>
      <c r="G439" s="17">
        <v>643.25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175.06</v>
      </c>
      <c r="E440" s="17"/>
      <c r="F440" s="17">
        <v>26.46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5212.25</v>
      </c>
      <c r="F441" s="17"/>
      <c r="G441" s="17">
        <v>684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241.92</v>
      </c>
      <c r="E442" s="17"/>
      <c r="F442" s="17">
        <v>28.26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3791.5</v>
      </c>
      <c r="F443" s="17"/>
      <c r="G443" s="17">
        <v>523.75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61.4</v>
      </c>
      <c r="E444" s="17"/>
      <c r="F444" s="17">
        <v>13.64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850.25</v>
      </c>
      <c r="F445" s="17"/>
      <c r="G445" s="17">
        <v>220.63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6.62</v>
      </c>
      <c r="E446" s="17"/>
      <c r="F446" s="17">
        <v>4.01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82.75</v>
      </c>
      <c r="F447" s="17"/>
      <c r="G447" s="17">
        <v>50.13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180.75</v>
      </c>
      <c r="F461" s="17"/>
      <c r="G461" s="17">
        <v>68.88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14.46</v>
      </c>
      <c r="E462" s="17"/>
      <c r="F462" s="17">
        <v>5.51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1947.88</v>
      </c>
      <c r="F463" s="17"/>
      <c r="G463" s="17">
        <v>356.25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141.37</v>
      </c>
      <c r="E464" s="17"/>
      <c r="F464" s="17">
        <v>22.99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4788.75</v>
      </c>
      <c r="F465" s="17"/>
      <c r="G465" s="17">
        <v>804.88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241.73</v>
      </c>
      <c r="E466" s="17"/>
      <c r="F466" s="17">
        <v>41.4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5924.13</v>
      </c>
      <c r="F467" s="17"/>
      <c r="G467" s="17">
        <v>1012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232.2</v>
      </c>
      <c r="E468" s="17"/>
      <c r="F468" s="17">
        <v>39.56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6943.88</v>
      </c>
      <c r="F469" s="17"/>
      <c r="G469" s="17">
        <v>1065.63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323.31</v>
      </c>
      <c r="E470" s="17"/>
      <c r="F470" s="17">
        <v>45.69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7364.38</v>
      </c>
      <c r="F471" s="17"/>
      <c r="G471" s="17">
        <v>1123.25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265.84</v>
      </c>
      <c r="E472" s="17"/>
      <c r="F472" s="17">
        <v>44.17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7127.5</v>
      </c>
      <c r="F473" s="17"/>
      <c r="G473" s="17">
        <v>1074.88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304.36</v>
      </c>
      <c r="E474" s="17"/>
      <c r="F474" s="17">
        <v>41.82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7438.38</v>
      </c>
      <c r="F475" s="17"/>
      <c r="G475" s="17">
        <v>1072.25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290.71</v>
      </c>
      <c r="E476" s="17"/>
      <c r="F476" s="17">
        <v>43.96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7323.75</v>
      </c>
      <c r="F477" s="17"/>
      <c r="G477" s="17">
        <v>1099.13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295.19</v>
      </c>
      <c r="E478" s="17"/>
      <c r="F478" s="17">
        <v>43.97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6787.25</v>
      </c>
      <c r="F479" s="17"/>
      <c r="G479" s="17">
        <v>1104.38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247.79</v>
      </c>
      <c r="E480" s="17"/>
      <c r="F480" s="17">
        <v>44.38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5467.63</v>
      </c>
      <c r="F481" s="17"/>
      <c r="G481" s="24">
        <v>1049.13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189.62</v>
      </c>
      <c r="E482" s="26"/>
      <c r="F482" s="17">
        <v>39.55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4606.38</v>
      </c>
      <c r="F483" s="17"/>
      <c r="G483" s="17">
        <v>947.88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178.89</v>
      </c>
      <c r="E484" s="17"/>
      <c r="F484" s="17">
        <v>36.28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4596</v>
      </c>
      <c r="F485" s="17"/>
      <c r="G485" s="17">
        <v>870.5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188.79</v>
      </c>
      <c r="E486" s="17"/>
      <c r="F486" s="17">
        <v>33.36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4503</v>
      </c>
      <c r="F487" s="17"/>
      <c r="G487" s="17">
        <v>798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171.45</v>
      </c>
      <c r="E488" s="17"/>
      <c r="F488" s="17">
        <v>30.48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4569.88</v>
      </c>
      <c r="F489" s="17"/>
      <c r="G489" s="17">
        <v>798.63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194.14</v>
      </c>
      <c r="E490" s="17"/>
      <c r="F490" s="17">
        <v>33.41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6214.38</v>
      </c>
      <c r="F491" s="17"/>
      <c r="G491" s="17">
        <v>1133.38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303.01</v>
      </c>
      <c r="E492" s="17"/>
      <c r="F492" s="17">
        <v>57.26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7524.5</v>
      </c>
      <c r="F493" s="17"/>
      <c r="G493" s="17">
        <v>1495.38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298.95</v>
      </c>
      <c r="E494" s="17"/>
      <c r="F494" s="17">
        <v>62.37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7631.63</v>
      </c>
      <c r="F495" s="17"/>
      <c r="G495" s="17">
        <v>1485.5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311.58</v>
      </c>
      <c r="E496" s="17"/>
      <c r="F496" s="17">
        <v>56.47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8983.5</v>
      </c>
      <c r="F497" s="17"/>
      <c r="G497" s="17">
        <v>1576.88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407.1</v>
      </c>
      <c r="E498" s="17"/>
      <c r="F498" s="17">
        <v>69.68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1014033.82</v>
      </c>
      <c r="F500" s="30"/>
      <c r="G500" s="31">
        <f t="shared" si="81"/>
        <v>188486.87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U491" sqref="U491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302</v>
      </c>
      <c r="E7" s="7"/>
      <c r="F7" s="7"/>
      <c r="G7" s="7"/>
      <c r="H7" s="8" t="s">
        <v>303</v>
      </c>
      <c r="I7" s="7"/>
      <c r="J7" s="7"/>
      <c r="K7" s="7"/>
      <c r="L7" s="8" t="s">
        <v>304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0</v>
      </c>
      <c r="F141" s="17"/>
      <c r="G141" s="17">
        <v>0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0</v>
      </c>
      <c r="E142" s="17"/>
      <c r="F142" s="17">
        <v>0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0</v>
      </c>
      <c r="F143" s="17"/>
      <c r="G143" s="17">
        <v>0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0</v>
      </c>
      <c r="E144" s="17"/>
      <c r="F144" s="17">
        <v>0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0</v>
      </c>
      <c r="F145" s="17"/>
      <c r="G145" s="17">
        <v>0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0</v>
      </c>
      <c r="F147" s="17"/>
      <c r="G147" s="17">
        <v>0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0</v>
      </c>
      <c r="E148" s="17"/>
      <c r="F148" s="17">
        <v>0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0</v>
      </c>
      <c r="F149" s="17"/>
      <c r="G149" s="17">
        <v>0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0</v>
      </c>
      <c r="E150" s="17"/>
      <c r="F150" s="17">
        <v>0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0</v>
      </c>
      <c r="F151" s="17"/>
      <c r="G151" s="17">
        <v>0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0</v>
      </c>
      <c r="E152" s="17"/>
      <c r="F152" s="17">
        <v>0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0</v>
      </c>
      <c r="F153" s="17"/>
      <c r="G153" s="17">
        <v>0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0</v>
      </c>
      <c r="E154" s="17"/>
      <c r="F154" s="17">
        <v>0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0</v>
      </c>
      <c r="F155" s="17"/>
      <c r="G155" s="17">
        <v>0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0</v>
      </c>
      <c r="E156" s="17"/>
      <c r="F156" s="17">
        <v>0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0</v>
      </c>
      <c r="F157" s="17"/>
      <c r="G157" s="17">
        <v>0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0</v>
      </c>
      <c r="E158" s="17"/>
      <c r="F158" s="17">
        <v>0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0</v>
      </c>
      <c r="F159" s="17"/>
      <c r="G159" s="17">
        <v>0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0</v>
      </c>
      <c r="E160" s="17"/>
      <c r="F160" s="17">
        <v>0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0</v>
      </c>
      <c r="F161" s="17"/>
      <c r="G161" s="17">
        <v>0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0</v>
      </c>
      <c r="F197" s="17"/>
      <c r="G197" s="17">
        <v>0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0</v>
      </c>
      <c r="E198" s="17"/>
      <c r="F198" s="17">
        <v>0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0</v>
      </c>
      <c r="F199" s="17"/>
      <c r="G199" s="17">
        <v>0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0</v>
      </c>
      <c r="E200" s="17"/>
      <c r="F200" s="17">
        <v>0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0</v>
      </c>
      <c r="F201" s="17"/>
      <c r="G201" s="17">
        <v>0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0</v>
      </c>
      <c r="F207" s="17"/>
      <c r="G207" s="17">
        <v>0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0</v>
      </c>
      <c r="E208" s="17"/>
      <c r="F208" s="17">
        <v>0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0</v>
      </c>
      <c r="F209" s="17"/>
      <c r="G209" s="17">
        <v>0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0</v>
      </c>
      <c r="E210" s="17"/>
      <c r="F210" s="17">
        <v>0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0</v>
      </c>
      <c r="F211" s="17"/>
      <c r="G211" s="17">
        <v>0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0</v>
      </c>
      <c r="E212" s="17"/>
      <c r="F212" s="17">
        <v>0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0</v>
      </c>
      <c r="F213" s="17"/>
      <c r="G213" s="17">
        <v>0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0</v>
      </c>
      <c r="E214" s="17"/>
      <c r="F214" s="17">
        <v>0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0</v>
      </c>
      <c r="F215" s="17"/>
      <c r="G215" s="17">
        <v>0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0</v>
      </c>
      <c r="E216" s="17"/>
      <c r="F216" s="17">
        <v>0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0</v>
      </c>
      <c r="F217" s="17"/>
      <c r="G217" s="17">
        <v>0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0</v>
      </c>
      <c r="F219" s="17"/>
      <c r="G219" s="17">
        <v>0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0</v>
      </c>
      <c r="E220" s="17"/>
      <c r="F220" s="17">
        <v>0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0</v>
      </c>
      <c r="F221" s="17"/>
      <c r="G221" s="17">
        <v>0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0</v>
      </c>
      <c r="E222" s="17"/>
      <c r="F222" s="17">
        <v>0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0</v>
      </c>
      <c r="F223" s="17"/>
      <c r="G223" s="17">
        <v>0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0</v>
      </c>
      <c r="E224" s="17"/>
      <c r="F224" s="17">
        <v>0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0</v>
      </c>
      <c r="F225" s="17"/>
      <c r="G225" s="17">
        <v>0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719.38</v>
      </c>
      <c r="F249" s="17"/>
      <c r="G249" s="17">
        <v>55.88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57.55</v>
      </c>
      <c r="E250" s="17"/>
      <c r="F250" s="17">
        <v>4.47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1724.75</v>
      </c>
      <c r="F251" s="17"/>
      <c r="G251" s="17">
        <v>159.88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80.43</v>
      </c>
      <c r="E252" s="17"/>
      <c r="F252" s="17">
        <v>8.32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2660.75</v>
      </c>
      <c r="F253" s="17"/>
      <c r="G253" s="17">
        <v>261.88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132.43</v>
      </c>
      <c r="E254" s="17"/>
      <c r="F254" s="17">
        <v>12.63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3164.13</v>
      </c>
      <c r="F255" s="17"/>
      <c r="G255" s="17">
        <v>292.38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120.7</v>
      </c>
      <c r="E256" s="17"/>
      <c r="F256" s="17">
        <v>10.76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2705.13</v>
      </c>
      <c r="F257" s="17"/>
      <c r="G257" s="17">
        <v>237.13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95.71</v>
      </c>
      <c r="E258" s="17"/>
      <c r="F258" s="17">
        <v>8.21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2188.38</v>
      </c>
      <c r="F259" s="17"/>
      <c r="G259" s="17">
        <v>168.38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79.36</v>
      </c>
      <c r="E260" s="17"/>
      <c r="F260" s="17">
        <v>5.26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2218.5</v>
      </c>
      <c r="F261" s="17"/>
      <c r="G261" s="17">
        <v>168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98.12</v>
      </c>
      <c r="E262" s="17"/>
      <c r="F262" s="17">
        <v>8.18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3153.88</v>
      </c>
      <c r="F263" s="17"/>
      <c r="G263" s="17">
        <v>244.5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154.19</v>
      </c>
      <c r="E264" s="17"/>
      <c r="F264" s="17">
        <v>11.38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3956.5</v>
      </c>
      <c r="F265" s="17"/>
      <c r="G265" s="17">
        <v>318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162.33</v>
      </c>
      <c r="E266" s="17"/>
      <c r="F266" s="17">
        <v>14.06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3456.75</v>
      </c>
      <c r="F267" s="17"/>
      <c r="G267" s="17">
        <v>307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114.21</v>
      </c>
      <c r="E268" s="17"/>
      <c r="F268" s="17">
        <v>10.5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2334</v>
      </c>
      <c r="F269" s="17"/>
      <c r="G269" s="17">
        <v>223.13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72.51</v>
      </c>
      <c r="E270" s="17"/>
      <c r="F270" s="17">
        <v>7.35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906.38</v>
      </c>
      <c r="F271" s="17"/>
      <c r="G271" s="17">
        <v>91.88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0</v>
      </c>
      <c r="E272" s="17"/>
      <c r="F272" s="17">
        <v>0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0</v>
      </c>
      <c r="F273" s="17"/>
      <c r="G273" s="17">
        <v>0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0</v>
      </c>
      <c r="E274" s="17"/>
      <c r="F274" s="17">
        <v>0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0</v>
      </c>
      <c r="F275" s="17"/>
      <c r="G275" s="17">
        <v>0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0</v>
      </c>
      <c r="E276" s="17"/>
      <c r="F276" s="17">
        <v>0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0</v>
      </c>
      <c r="F277" s="17"/>
      <c r="G277" s="17">
        <v>0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0</v>
      </c>
      <c r="E278" s="17"/>
      <c r="F278" s="17">
        <v>0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0</v>
      </c>
      <c r="F279" s="17"/>
      <c r="G279" s="17">
        <v>0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0</v>
      </c>
      <c r="E280" s="17"/>
      <c r="F280" s="17">
        <v>0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0</v>
      </c>
      <c r="F281" s="17"/>
      <c r="G281" s="17">
        <v>0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0</v>
      </c>
      <c r="E282" s="17"/>
      <c r="F282" s="17">
        <v>0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0</v>
      </c>
      <c r="F283" s="17"/>
      <c r="G283" s="17">
        <v>0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0</v>
      </c>
      <c r="E284" s="17"/>
      <c r="F284" s="17">
        <v>0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0</v>
      </c>
      <c r="F285" s="17"/>
      <c r="G285" s="17">
        <v>0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0</v>
      </c>
      <c r="F291" s="17"/>
      <c r="G291" s="17">
        <v>0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0</v>
      </c>
      <c r="E292" s="17"/>
      <c r="F292" s="17">
        <v>0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0</v>
      </c>
      <c r="F293" s="17"/>
      <c r="G293" s="17">
        <v>0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0</v>
      </c>
      <c r="E294" s="17"/>
      <c r="F294" s="17">
        <v>0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0</v>
      </c>
      <c r="F295" s="17"/>
      <c r="G295" s="17">
        <v>0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0</v>
      </c>
      <c r="E296" s="17"/>
      <c r="F296" s="17">
        <v>0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0</v>
      </c>
      <c r="F297" s="17"/>
      <c r="G297" s="17">
        <v>0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0</v>
      </c>
      <c r="E298" s="17"/>
      <c r="F298" s="17">
        <v>0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0</v>
      </c>
      <c r="F299" s="17"/>
      <c r="G299" s="17">
        <v>0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0</v>
      </c>
      <c r="E300" s="17"/>
      <c r="F300" s="17">
        <v>0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0</v>
      </c>
      <c r="F301" s="17"/>
      <c r="G301" s="17">
        <v>0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0</v>
      </c>
      <c r="E302" s="17"/>
      <c r="F302" s="17">
        <v>0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0</v>
      </c>
      <c r="F303" s="17"/>
      <c r="G303" s="17">
        <v>0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0</v>
      </c>
      <c r="F321" s="17"/>
      <c r="G321" s="17">
        <v>0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0</v>
      </c>
      <c r="F373" s="17"/>
      <c r="G373" s="17">
        <v>0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0</v>
      </c>
      <c r="E374" s="17"/>
      <c r="F374" s="17">
        <v>0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0</v>
      </c>
      <c r="F375" s="17"/>
      <c r="G375" s="17">
        <v>0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0</v>
      </c>
      <c r="E376" s="17"/>
      <c r="F376" s="17">
        <v>0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0</v>
      </c>
      <c r="F377" s="17"/>
      <c r="G377" s="17">
        <v>0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0</v>
      </c>
      <c r="E378" s="17"/>
      <c r="F378" s="17">
        <v>0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0</v>
      </c>
      <c r="F379" s="17"/>
      <c r="G379" s="17">
        <v>0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0</v>
      </c>
      <c r="E380" s="17"/>
      <c r="F380" s="17">
        <v>0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0</v>
      </c>
      <c r="F381" s="17"/>
      <c r="G381" s="17">
        <v>0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0</v>
      </c>
      <c r="E382" s="17"/>
      <c r="F382" s="17">
        <v>0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0</v>
      </c>
      <c r="F383" s="17"/>
      <c r="G383" s="17">
        <v>0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0</v>
      </c>
      <c r="E384" s="17"/>
      <c r="F384" s="17">
        <v>0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0</v>
      </c>
      <c r="F385" s="17"/>
      <c r="G385" s="17">
        <v>0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0</v>
      </c>
      <c r="E386" s="17"/>
      <c r="F386" s="17">
        <v>0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0</v>
      </c>
      <c r="F387" s="17"/>
      <c r="G387" s="17">
        <v>0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0</v>
      </c>
      <c r="E388" s="17"/>
      <c r="F388" s="17">
        <v>0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0</v>
      </c>
      <c r="F389" s="17"/>
      <c r="G389" s="17">
        <v>0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0</v>
      </c>
      <c r="F391" s="17"/>
      <c r="G391" s="17">
        <v>0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0</v>
      </c>
      <c r="E392" s="17"/>
      <c r="F392" s="17">
        <v>0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0</v>
      </c>
      <c r="F393" s="17"/>
      <c r="G393" s="17">
        <v>0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1212</v>
      </c>
      <c r="F407" s="17"/>
      <c r="G407" s="17">
        <v>87.38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96.96</v>
      </c>
      <c r="E408" s="17"/>
      <c r="F408" s="17">
        <v>6.99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2425</v>
      </c>
      <c r="F409" s="17"/>
      <c r="G409" s="17">
        <v>203.75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97.04</v>
      </c>
      <c r="E410" s="17"/>
      <c r="F410" s="17">
        <v>9.31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2925.5</v>
      </c>
      <c r="F411" s="17"/>
      <c r="G411" s="17">
        <v>557.5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137</v>
      </c>
      <c r="E412" s="17"/>
      <c r="F412" s="17">
        <v>35.29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3160.13</v>
      </c>
      <c r="F413" s="17"/>
      <c r="G413" s="17">
        <v>949.5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115.81</v>
      </c>
      <c r="E414" s="17"/>
      <c r="F414" s="17">
        <v>40.67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2492.75</v>
      </c>
      <c r="F415" s="17"/>
      <c r="G415" s="17">
        <v>989.13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83.61</v>
      </c>
      <c r="E416" s="17"/>
      <c r="F416" s="17">
        <v>38.46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2099.5</v>
      </c>
      <c r="F417" s="17"/>
      <c r="G417" s="17">
        <v>889.13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84.35</v>
      </c>
      <c r="E418" s="17"/>
      <c r="F418" s="17">
        <v>32.67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2131.38</v>
      </c>
      <c r="F419" s="17"/>
      <c r="G419" s="17">
        <v>860.5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86.16</v>
      </c>
      <c r="E420" s="17"/>
      <c r="F420" s="17">
        <v>36.17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2178</v>
      </c>
      <c r="F421" s="17"/>
      <c r="G421" s="17">
        <v>833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88.08</v>
      </c>
      <c r="E422" s="17"/>
      <c r="F422" s="17">
        <v>30.47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2536.25</v>
      </c>
      <c r="F423" s="17"/>
      <c r="G423" s="17">
        <v>858.5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114.82</v>
      </c>
      <c r="E424" s="17"/>
      <c r="F424" s="17">
        <v>38.21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2701.13</v>
      </c>
      <c r="F425" s="17"/>
      <c r="G425" s="17">
        <v>897.38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101.27</v>
      </c>
      <c r="E426" s="17"/>
      <c r="F426" s="17">
        <v>33.58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2384</v>
      </c>
      <c r="F427" s="17"/>
      <c r="G427" s="17">
        <v>1156.63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89.45</v>
      </c>
      <c r="E428" s="17"/>
      <c r="F428" s="17">
        <v>58.95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1118.13</v>
      </c>
      <c r="F429" s="17"/>
      <c r="G429" s="17">
        <v>736.88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0</v>
      </c>
      <c r="F443" s="17"/>
      <c r="G443" s="17">
        <v>0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0</v>
      </c>
      <c r="E444" s="17"/>
      <c r="F444" s="17">
        <v>0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0</v>
      </c>
      <c r="F445" s="17"/>
      <c r="G445" s="17">
        <v>0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0</v>
      </c>
      <c r="E446" s="17"/>
      <c r="F446" s="17">
        <v>0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0</v>
      </c>
      <c r="F447" s="17"/>
      <c r="G447" s="17">
        <v>0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0</v>
      </c>
      <c r="F461" s="17"/>
      <c r="G461" s="17">
        <v>0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0</v>
      </c>
      <c r="E462" s="17"/>
      <c r="F462" s="17">
        <v>0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0</v>
      </c>
      <c r="F463" s="17"/>
      <c r="G463" s="17">
        <v>0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0</v>
      </c>
      <c r="F477" s="17"/>
      <c r="G477" s="17">
        <v>0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0</v>
      </c>
      <c r="E478" s="17"/>
      <c r="F478" s="17">
        <v>0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0</v>
      </c>
      <c r="F479" s="17"/>
      <c r="G479" s="17">
        <v>0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0</v>
      </c>
      <c r="E480" s="17"/>
      <c r="F480" s="17">
        <v>0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0</v>
      </c>
      <c r="F481" s="17"/>
      <c r="G481" s="24">
        <v>0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0</v>
      </c>
      <c r="E482" s="26"/>
      <c r="F482" s="17">
        <v>0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0</v>
      </c>
      <c r="F483" s="17"/>
      <c r="G483" s="17">
        <v>0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0</v>
      </c>
      <c r="E484" s="17"/>
      <c r="F484" s="17">
        <v>0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0</v>
      </c>
      <c r="F485" s="17"/>
      <c r="G485" s="17">
        <v>0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0</v>
      </c>
      <c r="E486" s="17"/>
      <c r="F486" s="17">
        <v>0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0</v>
      </c>
      <c r="F487" s="17"/>
      <c r="G487" s="17">
        <v>0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0</v>
      </c>
      <c r="E488" s="17"/>
      <c r="F488" s="17">
        <v>0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0</v>
      </c>
      <c r="F489" s="17"/>
      <c r="G489" s="17">
        <v>0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0</v>
      </c>
      <c r="E490" s="17"/>
      <c r="F490" s="17">
        <v>0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0</v>
      </c>
      <c r="F491" s="17"/>
      <c r="G491" s="17">
        <v>0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0</v>
      </c>
      <c r="E492" s="17"/>
      <c r="F492" s="17">
        <v>0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0</v>
      </c>
      <c r="F493" s="17"/>
      <c r="G493" s="17">
        <v>0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0</v>
      </c>
      <c r="E494" s="17"/>
      <c r="F494" s="17">
        <v>0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0</v>
      </c>
      <c r="F495" s="17"/>
      <c r="G495" s="17">
        <v>0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0</v>
      </c>
      <c r="E496" s="17"/>
      <c r="F496" s="17">
        <v>0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0</v>
      </c>
      <c r="F497" s="17"/>
      <c r="G497" s="17">
        <v>0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56552.3</v>
      </c>
      <c r="F500" s="30"/>
      <c r="G500" s="31">
        <f t="shared" si="81"/>
        <v>11547.32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X494" sqref="X494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305</v>
      </c>
      <c r="E7" s="7"/>
      <c r="F7" s="7"/>
      <c r="G7" s="7"/>
      <c r="H7" s="8" t="s">
        <v>306</v>
      </c>
      <c r="I7" s="7"/>
      <c r="J7" s="7"/>
      <c r="K7" s="7"/>
      <c r="L7" s="8" t="s">
        <v>307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0</v>
      </c>
      <c r="F141" s="17"/>
      <c r="G141" s="17">
        <v>0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0</v>
      </c>
      <c r="E142" s="17"/>
      <c r="F142" s="17">
        <v>0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0</v>
      </c>
      <c r="F143" s="17"/>
      <c r="G143" s="17">
        <v>0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0</v>
      </c>
      <c r="E144" s="17"/>
      <c r="F144" s="17">
        <v>0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0</v>
      </c>
      <c r="F145" s="17"/>
      <c r="G145" s="17">
        <v>0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0</v>
      </c>
      <c r="F147" s="17"/>
      <c r="G147" s="17">
        <v>0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0</v>
      </c>
      <c r="E148" s="17"/>
      <c r="F148" s="17">
        <v>0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0</v>
      </c>
      <c r="F149" s="17"/>
      <c r="G149" s="17">
        <v>0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0</v>
      </c>
      <c r="E150" s="17"/>
      <c r="F150" s="17">
        <v>0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0</v>
      </c>
      <c r="F151" s="17"/>
      <c r="G151" s="17">
        <v>0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0</v>
      </c>
      <c r="E152" s="17"/>
      <c r="F152" s="17">
        <v>0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0</v>
      </c>
      <c r="F153" s="17"/>
      <c r="G153" s="17">
        <v>0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0</v>
      </c>
      <c r="E154" s="17"/>
      <c r="F154" s="17">
        <v>0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0</v>
      </c>
      <c r="F155" s="17"/>
      <c r="G155" s="17">
        <v>0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0</v>
      </c>
      <c r="E156" s="17"/>
      <c r="F156" s="17">
        <v>0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0</v>
      </c>
      <c r="F157" s="17"/>
      <c r="G157" s="17">
        <v>0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0</v>
      </c>
      <c r="E158" s="17"/>
      <c r="F158" s="17">
        <v>0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0</v>
      </c>
      <c r="F159" s="17"/>
      <c r="G159" s="17">
        <v>0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0</v>
      </c>
      <c r="E160" s="17"/>
      <c r="F160" s="17">
        <v>0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0</v>
      </c>
      <c r="F161" s="17"/>
      <c r="G161" s="17">
        <v>0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0</v>
      </c>
      <c r="F181" s="17"/>
      <c r="G181" s="17">
        <v>0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0</v>
      </c>
      <c r="E182" s="17"/>
      <c r="F182" s="17">
        <v>0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0</v>
      </c>
      <c r="F183" s="17"/>
      <c r="G183" s="17">
        <v>0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0</v>
      </c>
      <c r="E184" s="17"/>
      <c r="F184" s="17">
        <v>0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0</v>
      </c>
      <c r="F185" s="17"/>
      <c r="G185" s="17">
        <v>0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0</v>
      </c>
      <c r="E186" s="17"/>
      <c r="F186" s="17">
        <v>0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0</v>
      </c>
      <c r="F187" s="17"/>
      <c r="G187" s="17">
        <v>0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0</v>
      </c>
      <c r="E188" s="17"/>
      <c r="F188" s="17">
        <v>0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0</v>
      </c>
      <c r="F189" s="17"/>
      <c r="G189" s="17">
        <v>0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0</v>
      </c>
      <c r="E190" s="17"/>
      <c r="F190" s="17">
        <v>0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0</v>
      </c>
      <c r="F191" s="17"/>
      <c r="G191" s="17">
        <v>0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0</v>
      </c>
      <c r="E192" s="17"/>
      <c r="F192" s="17">
        <v>0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0</v>
      </c>
      <c r="F193" s="17"/>
      <c r="G193" s="17">
        <v>0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0</v>
      </c>
      <c r="E194" s="17"/>
      <c r="F194" s="17">
        <v>0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0</v>
      </c>
      <c r="F195" s="17"/>
      <c r="G195" s="17">
        <v>0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0</v>
      </c>
      <c r="F197" s="17"/>
      <c r="G197" s="17">
        <v>0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0</v>
      </c>
      <c r="E198" s="17"/>
      <c r="F198" s="17">
        <v>0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0</v>
      </c>
      <c r="F199" s="17"/>
      <c r="G199" s="17">
        <v>0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0</v>
      </c>
      <c r="E200" s="17"/>
      <c r="F200" s="17">
        <v>0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0</v>
      </c>
      <c r="F201" s="17"/>
      <c r="G201" s="17">
        <v>0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0</v>
      </c>
      <c r="F207" s="17"/>
      <c r="G207" s="17">
        <v>0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0</v>
      </c>
      <c r="E208" s="17"/>
      <c r="F208" s="17">
        <v>0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0</v>
      </c>
      <c r="F209" s="17"/>
      <c r="G209" s="17">
        <v>0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0</v>
      </c>
      <c r="E210" s="17"/>
      <c r="F210" s="17">
        <v>0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0</v>
      </c>
      <c r="F211" s="17"/>
      <c r="G211" s="17">
        <v>0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0</v>
      </c>
      <c r="E212" s="17"/>
      <c r="F212" s="17">
        <v>0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0</v>
      </c>
      <c r="F213" s="17"/>
      <c r="G213" s="17">
        <v>0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0</v>
      </c>
      <c r="E214" s="17"/>
      <c r="F214" s="17">
        <v>0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0</v>
      </c>
      <c r="F215" s="17"/>
      <c r="G215" s="17">
        <v>0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0</v>
      </c>
      <c r="E216" s="17"/>
      <c r="F216" s="17">
        <v>0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0</v>
      </c>
      <c r="F217" s="17"/>
      <c r="G217" s="17">
        <v>0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0</v>
      </c>
      <c r="E218" s="17"/>
      <c r="F218" s="17">
        <v>0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0</v>
      </c>
      <c r="F219" s="17"/>
      <c r="G219" s="17">
        <v>0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0</v>
      </c>
      <c r="E220" s="17"/>
      <c r="F220" s="17">
        <v>0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0</v>
      </c>
      <c r="F221" s="17"/>
      <c r="G221" s="17">
        <v>0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0</v>
      </c>
      <c r="E222" s="17"/>
      <c r="F222" s="17">
        <v>0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0</v>
      </c>
      <c r="F223" s="17"/>
      <c r="G223" s="17">
        <v>0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0</v>
      </c>
      <c r="E224" s="17"/>
      <c r="F224" s="17">
        <v>0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0</v>
      </c>
      <c r="F225" s="17"/>
      <c r="G225" s="17">
        <v>0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0</v>
      </c>
      <c r="F231" s="17"/>
      <c r="G231" s="17">
        <v>0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0</v>
      </c>
      <c r="E232" s="17"/>
      <c r="F232" s="17">
        <v>0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0</v>
      </c>
      <c r="F233" s="17"/>
      <c r="G233" s="17">
        <v>0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0</v>
      </c>
      <c r="E234" s="17"/>
      <c r="F234" s="17">
        <v>0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0</v>
      </c>
      <c r="F235" s="17"/>
      <c r="G235" s="17">
        <v>0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0</v>
      </c>
      <c r="E236" s="17"/>
      <c r="F236" s="17">
        <v>0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0</v>
      </c>
      <c r="F237" s="17"/>
      <c r="G237" s="17">
        <v>0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0</v>
      </c>
      <c r="E238" s="17"/>
      <c r="F238" s="17">
        <v>0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0</v>
      </c>
      <c r="F239" s="17"/>
      <c r="G239" s="17">
        <v>0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0</v>
      </c>
      <c r="E240" s="17"/>
      <c r="F240" s="17">
        <v>0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0</v>
      </c>
      <c r="F241" s="17"/>
      <c r="G241" s="17">
        <v>0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0</v>
      </c>
      <c r="E242" s="17"/>
      <c r="F242" s="17">
        <v>0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0</v>
      </c>
      <c r="F243" s="17"/>
      <c r="G243" s="17">
        <v>0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0</v>
      </c>
      <c r="E244" s="17"/>
      <c r="F244" s="17">
        <v>0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0</v>
      </c>
      <c r="F245" s="17"/>
      <c r="G245" s="17">
        <v>0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0</v>
      </c>
      <c r="E246" s="17"/>
      <c r="F246" s="17">
        <v>0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0</v>
      </c>
      <c r="F247" s="17"/>
      <c r="G247" s="17">
        <v>0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0</v>
      </c>
      <c r="E248" s="17"/>
      <c r="F248" s="17">
        <v>0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0</v>
      </c>
      <c r="F249" s="17"/>
      <c r="G249" s="17">
        <v>0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0</v>
      </c>
      <c r="E250" s="17"/>
      <c r="F250" s="17">
        <v>0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0</v>
      </c>
      <c r="F251" s="17"/>
      <c r="G251" s="17">
        <v>0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0</v>
      </c>
      <c r="E252" s="17"/>
      <c r="F252" s="17">
        <v>0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0</v>
      </c>
      <c r="F253" s="17"/>
      <c r="G253" s="17">
        <v>0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0</v>
      </c>
      <c r="E254" s="17"/>
      <c r="F254" s="17">
        <v>0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0</v>
      </c>
      <c r="F255" s="17"/>
      <c r="G255" s="17">
        <v>0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0</v>
      </c>
      <c r="E256" s="17"/>
      <c r="F256" s="17">
        <v>0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0</v>
      </c>
      <c r="F257" s="17"/>
      <c r="G257" s="17">
        <v>0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0</v>
      </c>
      <c r="E258" s="17"/>
      <c r="F258" s="17">
        <v>0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0</v>
      </c>
      <c r="F259" s="17"/>
      <c r="G259" s="17">
        <v>0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0</v>
      </c>
      <c r="E260" s="17"/>
      <c r="F260" s="17">
        <v>0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0</v>
      </c>
      <c r="F261" s="17"/>
      <c r="G261" s="17">
        <v>0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0</v>
      </c>
      <c r="E262" s="17"/>
      <c r="F262" s="17">
        <v>0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0</v>
      </c>
      <c r="F263" s="17"/>
      <c r="G263" s="17">
        <v>0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0</v>
      </c>
      <c r="E264" s="17"/>
      <c r="F264" s="17">
        <v>0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0</v>
      </c>
      <c r="F265" s="17"/>
      <c r="G265" s="17">
        <v>0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0</v>
      </c>
      <c r="E266" s="17"/>
      <c r="F266" s="17">
        <v>0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0</v>
      </c>
      <c r="F267" s="17"/>
      <c r="G267" s="17">
        <v>0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0</v>
      </c>
      <c r="E268" s="17"/>
      <c r="F268" s="17">
        <v>0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2033.88</v>
      </c>
      <c r="F269" s="17"/>
      <c r="G269" s="17">
        <v>0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162.71</v>
      </c>
      <c r="E270" s="17"/>
      <c r="F270" s="17">
        <v>0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4200.13</v>
      </c>
      <c r="F271" s="17"/>
      <c r="G271" s="17">
        <v>0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173.3</v>
      </c>
      <c r="E272" s="17"/>
      <c r="F272" s="17">
        <v>0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4202.13</v>
      </c>
      <c r="F273" s="17"/>
      <c r="G273" s="17">
        <v>0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162.87</v>
      </c>
      <c r="E274" s="17"/>
      <c r="F274" s="17">
        <v>0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4582.88</v>
      </c>
      <c r="F275" s="17"/>
      <c r="G275" s="17">
        <v>0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203.76</v>
      </c>
      <c r="E276" s="17"/>
      <c r="F276" s="17">
        <v>0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5376.38</v>
      </c>
      <c r="F277" s="17"/>
      <c r="G277" s="17">
        <v>0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226.35</v>
      </c>
      <c r="E278" s="17"/>
      <c r="F278" s="17">
        <v>0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4892.13</v>
      </c>
      <c r="F279" s="17"/>
      <c r="G279" s="17">
        <v>0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165.02</v>
      </c>
      <c r="E280" s="17"/>
      <c r="F280" s="17">
        <v>0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3887.25</v>
      </c>
      <c r="F281" s="17"/>
      <c r="G281" s="17">
        <v>0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145.96</v>
      </c>
      <c r="E282" s="17"/>
      <c r="F282" s="17">
        <v>0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3551.63</v>
      </c>
      <c r="F283" s="17"/>
      <c r="G283" s="17">
        <v>0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138.17</v>
      </c>
      <c r="E284" s="17"/>
      <c r="F284" s="17">
        <v>0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1727.13</v>
      </c>
      <c r="F285" s="17"/>
      <c r="G285" s="17">
        <v>0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0</v>
      </c>
      <c r="E286" s="17"/>
      <c r="F286" s="17">
        <v>0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0</v>
      </c>
      <c r="F287" s="17"/>
      <c r="G287" s="17">
        <v>0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0</v>
      </c>
      <c r="E288" s="17"/>
      <c r="F288" s="17">
        <v>0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0</v>
      </c>
      <c r="F289" s="17"/>
      <c r="G289" s="17">
        <v>0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0</v>
      </c>
      <c r="E290" s="17"/>
      <c r="F290" s="17">
        <v>0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0</v>
      </c>
      <c r="F291" s="17"/>
      <c r="G291" s="17">
        <v>0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0</v>
      </c>
      <c r="E292" s="17"/>
      <c r="F292" s="17">
        <v>0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0</v>
      </c>
      <c r="F293" s="17"/>
      <c r="G293" s="17">
        <v>0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0</v>
      </c>
      <c r="E294" s="17"/>
      <c r="F294" s="17">
        <v>0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0</v>
      </c>
      <c r="F295" s="17"/>
      <c r="G295" s="17">
        <v>0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0</v>
      </c>
      <c r="E296" s="17"/>
      <c r="F296" s="17">
        <v>0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0</v>
      </c>
      <c r="F297" s="17"/>
      <c r="G297" s="17">
        <v>0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0</v>
      </c>
      <c r="E298" s="17"/>
      <c r="F298" s="17">
        <v>0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0</v>
      </c>
      <c r="F299" s="17"/>
      <c r="G299" s="17">
        <v>0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0</v>
      </c>
      <c r="E300" s="17"/>
      <c r="F300" s="17">
        <v>0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0</v>
      </c>
      <c r="F301" s="17"/>
      <c r="G301" s="17">
        <v>0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0</v>
      </c>
      <c r="E302" s="17"/>
      <c r="F302" s="17">
        <v>0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0</v>
      </c>
      <c r="F303" s="17"/>
      <c r="G303" s="17">
        <v>0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1762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140.96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3344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126.56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4088.38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200.51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5844.88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267.08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7026.5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295.04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8010.63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345.81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8844.38</v>
      </c>
      <c r="F319" s="17"/>
      <c r="G319" s="17">
        <v>834.5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361.74</v>
      </c>
      <c r="E320" s="17"/>
      <c r="F320" s="17">
        <v>66.76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4521.75</v>
      </c>
      <c r="F321" s="17"/>
      <c r="G321" s="17">
        <v>834.5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0</v>
      </c>
      <c r="E322" s="17"/>
      <c r="F322" s="17">
        <v>0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0</v>
      </c>
      <c r="F323" s="17"/>
      <c r="G323" s="17">
        <v>0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0</v>
      </c>
      <c r="E324" s="17"/>
      <c r="F324" s="17">
        <v>0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0</v>
      </c>
      <c r="F325" s="17"/>
      <c r="G325" s="17">
        <v>0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0</v>
      </c>
      <c r="E326" s="17"/>
      <c r="F326" s="17">
        <v>0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0</v>
      </c>
      <c r="F327" s="17"/>
      <c r="G327" s="17">
        <v>0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0</v>
      </c>
      <c r="E328" s="17"/>
      <c r="F328" s="17">
        <v>0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0</v>
      </c>
      <c r="F329" s="17"/>
      <c r="G329" s="17">
        <v>0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0</v>
      </c>
      <c r="E330" s="17"/>
      <c r="F330" s="17">
        <v>0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0</v>
      </c>
      <c r="F331" s="17"/>
      <c r="G331" s="17">
        <v>0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0</v>
      </c>
      <c r="E332" s="17"/>
      <c r="F332" s="17">
        <v>0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0</v>
      </c>
      <c r="F333" s="17"/>
      <c r="G333" s="17">
        <v>0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0</v>
      </c>
      <c r="E334" s="17"/>
      <c r="F334" s="17">
        <v>0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0</v>
      </c>
      <c r="F335" s="17"/>
      <c r="G335" s="17">
        <v>0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0</v>
      </c>
      <c r="E336" s="17"/>
      <c r="F336" s="17">
        <v>0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0</v>
      </c>
      <c r="F337" s="17"/>
      <c r="G337" s="17">
        <v>0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0</v>
      </c>
      <c r="E338" s="17"/>
      <c r="F338" s="17">
        <v>0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0</v>
      </c>
      <c r="F339" s="17"/>
      <c r="G339" s="17">
        <v>0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0</v>
      </c>
      <c r="F361" s="17"/>
      <c r="G361" s="17">
        <v>0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0</v>
      </c>
      <c r="E362" s="17"/>
      <c r="F362" s="17">
        <v>0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0</v>
      </c>
      <c r="F363" s="17"/>
      <c r="G363" s="24">
        <v>0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0</v>
      </c>
      <c r="E364" s="26"/>
      <c r="F364" s="17">
        <v>0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0</v>
      </c>
      <c r="F365" s="17"/>
      <c r="G365" s="17">
        <v>0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0</v>
      </c>
      <c r="E366" s="17"/>
      <c r="F366" s="17">
        <v>0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0</v>
      </c>
      <c r="F367" s="17"/>
      <c r="G367" s="17">
        <v>0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0</v>
      </c>
      <c r="E368" s="17"/>
      <c r="F368" s="17">
        <v>0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0</v>
      </c>
      <c r="F369" s="17"/>
      <c r="G369" s="17">
        <v>0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0</v>
      </c>
      <c r="E370" s="17"/>
      <c r="F370" s="17">
        <v>0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0</v>
      </c>
      <c r="F371" s="17"/>
      <c r="G371" s="17">
        <v>0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0</v>
      </c>
      <c r="E372" s="17"/>
      <c r="F372" s="17">
        <v>0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804.88</v>
      </c>
      <c r="F373" s="17"/>
      <c r="G373" s="17">
        <v>0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64.39</v>
      </c>
      <c r="E374" s="17"/>
      <c r="F374" s="17">
        <v>0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3375.88</v>
      </c>
      <c r="F375" s="17"/>
      <c r="G375" s="17">
        <v>0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205.68</v>
      </c>
      <c r="E376" s="17"/>
      <c r="F376" s="17">
        <v>0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4719.25</v>
      </c>
      <c r="F377" s="17"/>
      <c r="G377" s="17">
        <v>0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171.86</v>
      </c>
      <c r="E378" s="17"/>
      <c r="F378" s="17">
        <v>0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4468.75</v>
      </c>
      <c r="F379" s="17"/>
      <c r="G379" s="17">
        <v>0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185.64</v>
      </c>
      <c r="E380" s="17"/>
      <c r="F380" s="17">
        <v>0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4642.13</v>
      </c>
      <c r="F381" s="17"/>
      <c r="G381" s="17">
        <v>0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185.73</v>
      </c>
      <c r="E382" s="17"/>
      <c r="F382" s="17">
        <v>0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3865</v>
      </c>
      <c r="F383" s="17"/>
      <c r="G383" s="17">
        <v>0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123.47</v>
      </c>
      <c r="E384" s="17"/>
      <c r="F384" s="17">
        <v>0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2767.38</v>
      </c>
      <c r="F385" s="17"/>
      <c r="G385" s="17">
        <v>0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97.92</v>
      </c>
      <c r="E386" s="17"/>
      <c r="F386" s="17">
        <v>0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2304.5</v>
      </c>
      <c r="F387" s="17"/>
      <c r="G387" s="17">
        <v>0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86.44</v>
      </c>
      <c r="E388" s="17"/>
      <c r="F388" s="17">
        <v>0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1080.5</v>
      </c>
      <c r="F389" s="17"/>
      <c r="G389" s="17">
        <v>0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0</v>
      </c>
      <c r="E390" s="17"/>
      <c r="F390" s="17">
        <v>0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0</v>
      </c>
      <c r="F391" s="17"/>
      <c r="G391" s="17">
        <v>0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0</v>
      </c>
      <c r="E392" s="17"/>
      <c r="F392" s="17">
        <v>0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0</v>
      </c>
      <c r="F393" s="17"/>
      <c r="G393" s="17">
        <v>0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0</v>
      </c>
      <c r="F407" s="17"/>
      <c r="G407" s="17">
        <v>0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0</v>
      </c>
      <c r="E408" s="17"/>
      <c r="F408" s="17">
        <v>0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0</v>
      </c>
      <c r="F409" s="17"/>
      <c r="G409" s="17">
        <v>0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0</v>
      </c>
      <c r="E410" s="17"/>
      <c r="F410" s="17">
        <v>0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0</v>
      </c>
      <c r="F411" s="17"/>
      <c r="G411" s="17">
        <v>0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0</v>
      </c>
      <c r="E412" s="17"/>
      <c r="F412" s="17">
        <v>0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0</v>
      </c>
      <c r="F413" s="17"/>
      <c r="G413" s="17">
        <v>0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0</v>
      </c>
      <c r="E414" s="17"/>
      <c r="F414" s="17">
        <v>0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0</v>
      </c>
      <c r="F415" s="17"/>
      <c r="G415" s="17">
        <v>0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0</v>
      </c>
      <c r="E416" s="17"/>
      <c r="F416" s="17">
        <v>0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0</v>
      </c>
      <c r="F417" s="17"/>
      <c r="G417" s="17">
        <v>0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0</v>
      </c>
      <c r="E418" s="17"/>
      <c r="F418" s="17">
        <v>0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0</v>
      </c>
      <c r="F419" s="17"/>
      <c r="G419" s="17">
        <v>0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0</v>
      </c>
      <c r="E420" s="17"/>
      <c r="F420" s="17">
        <v>0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0</v>
      </c>
      <c r="F421" s="17"/>
      <c r="G421" s="17">
        <v>0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0</v>
      </c>
      <c r="E422" s="17"/>
      <c r="F422" s="17">
        <v>0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0</v>
      </c>
      <c r="F423" s="17"/>
      <c r="G423" s="17">
        <v>0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0</v>
      </c>
      <c r="E424" s="17"/>
      <c r="F424" s="17">
        <v>0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0</v>
      </c>
      <c r="F425" s="17"/>
      <c r="G425" s="17">
        <v>0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0</v>
      </c>
      <c r="E426" s="17"/>
      <c r="F426" s="17">
        <v>0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0</v>
      </c>
      <c r="F427" s="17"/>
      <c r="G427" s="17">
        <v>0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0</v>
      </c>
      <c r="E428" s="17"/>
      <c r="F428" s="17">
        <v>0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0</v>
      </c>
      <c r="F429" s="17"/>
      <c r="G429" s="17">
        <v>0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0</v>
      </c>
      <c r="F443" s="17"/>
      <c r="G443" s="17">
        <v>0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0</v>
      </c>
      <c r="E444" s="17"/>
      <c r="F444" s="17">
        <v>0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0</v>
      </c>
      <c r="F445" s="17"/>
      <c r="G445" s="17">
        <v>0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0</v>
      </c>
      <c r="E446" s="17"/>
      <c r="F446" s="17">
        <v>0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0</v>
      </c>
      <c r="F447" s="17"/>
      <c r="G447" s="17">
        <v>0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0</v>
      </c>
      <c r="F461" s="17"/>
      <c r="G461" s="17">
        <v>0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0</v>
      </c>
      <c r="E462" s="17"/>
      <c r="F462" s="17">
        <v>0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0</v>
      </c>
      <c r="F463" s="17"/>
      <c r="G463" s="17">
        <v>0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0</v>
      </c>
      <c r="F477" s="17"/>
      <c r="G477" s="17">
        <v>0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0</v>
      </c>
      <c r="E478" s="17"/>
      <c r="F478" s="17">
        <v>0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0</v>
      </c>
      <c r="F479" s="17"/>
      <c r="G479" s="17">
        <v>0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0</v>
      </c>
      <c r="E480" s="17"/>
      <c r="F480" s="17">
        <v>0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0</v>
      </c>
      <c r="F481" s="17"/>
      <c r="G481" s="24">
        <v>0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0</v>
      </c>
      <c r="E482" s="26"/>
      <c r="F482" s="17">
        <v>0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0</v>
      </c>
      <c r="F483" s="17"/>
      <c r="G483" s="17">
        <v>0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0</v>
      </c>
      <c r="E484" s="17"/>
      <c r="F484" s="17">
        <v>0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0</v>
      </c>
      <c r="F485" s="17"/>
      <c r="G485" s="17">
        <v>0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0</v>
      </c>
      <c r="E486" s="17"/>
      <c r="F486" s="17">
        <v>0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0</v>
      </c>
      <c r="F487" s="17"/>
      <c r="G487" s="17">
        <v>0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0</v>
      </c>
      <c r="E488" s="17"/>
      <c r="F488" s="17">
        <v>0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0</v>
      </c>
      <c r="F489" s="17"/>
      <c r="G489" s="17">
        <v>0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0</v>
      </c>
      <c r="E490" s="17"/>
      <c r="F490" s="17">
        <v>0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0</v>
      </c>
      <c r="F491" s="17"/>
      <c r="G491" s="17">
        <v>0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0</v>
      </c>
      <c r="E492" s="17"/>
      <c r="F492" s="17">
        <v>0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0</v>
      </c>
      <c r="F493" s="17"/>
      <c r="G493" s="17">
        <v>0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0</v>
      </c>
      <c r="E494" s="17"/>
      <c r="F494" s="17">
        <v>0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0</v>
      </c>
      <c r="F495" s="17"/>
      <c r="G495" s="17">
        <v>0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0</v>
      </c>
      <c r="E496" s="17"/>
      <c r="F496" s="17">
        <v>0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0</v>
      </c>
      <c r="F497" s="17"/>
      <c r="G497" s="17">
        <v>0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105924.33</v>
      </c>
      <c r="F500" s="30"/>
      <c r="G500" s="31">
        <f t="shared" si="81"/>
        <v>1669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09"/>
  <sheetViews>
    <sheetView view="pageBreakPreview" zoomScaleNormal="100" workbookViewId="0">
      <pane xSplit="1" ySplit="9" topLeftCell="B478" activePane="bottomRight" state="frozen"/>
      <selection/>
      <selection pane="topRight"/>
      <selection pane="bottomLeft"/>
      <selection pane="bottomRight" activeCell="D500" sqref="D500"/>
    </sheetView>
  </sheetViews>
  <sheetFormatPr defaultColWidth="9" defaultRowHeight="13.2"/>
  <cols>
    <col min="2" max="2" width="15.1666666666667" style="3" customWidth="1"/>
    <col min="3" max="3" width="8.22222222222222" customWidth="1"/>
    <col min="4" max="4" width="12.2222222222222" style="3" customWidth="1"/>
    <col min="5" max="5" width="14.2222222222222" style="3" customWidth="1"/>
    <col min="6" max="6" width="12.2222222222222" style="3" customWidth="1"/>
    <col min="7" max="7" width="14.2222222222222" style="3" customWidth="1"/>
    <col min="8" max="8" width="12.2222222222222" style="3" customWidth="1"/>
    <col min="9" max="9" width="14.2222222222222" style="3" customWidth="1"/>
    <col min="10" max="10" width="12.2222222222222" style="3" customWidth="1"/>
    <col min="11" max="11" width="14.2222222222222" style="3" customWidth="1"/>
    <col min="12" max="12" width="12" style="3" customWidth="1"/>
    <col min="13" max="14" width="11.5" style="3" customWidth="1"/>
    <col min="15" max="15" width="12" style="3" customWidth="1"/>
    <col min="16" max="16" width="14.8888888888889" style="3" customWidth="1"/>
  </cols>
  <sheetData>
    <row r="1" s="1" customFormat="1" ht="15.6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5.6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3.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26.1" customHeight="1" spans="1:16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ht="32.1" customHeight="1" spans="1:16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" customHeight="1" spans="1:16">
      <c r="A7" s="6" t="s">
        <v>4</v>
      </c>
      <c r="B7" s="7" t="s">
        <v>5</v>
      </c>
      <c r="C7" s="7" t="s">
        <v>6</v>
      </c>
      <c r="D7" s="8" t="s">
        <v>308</v>
      </c>
      <c r="E7" s="7"/>
      <c r="F7" s="7"/>
      <c r="G7" s="7"/>
      <c r="H7" s="8" t="s">
        <v>309</v>
      </c>
      <c r="I7" s="7"/>
      <c r="J7" s="7"/>
      <c r="K7" s="7"/>
      <c r="L7" s="8" t="s">
        <v>310</v>
      </c>
      <c r="M7" s="7"/>
      <c r="N7" s="7"/>
      <c r="O7" s="7"/>
      <c r="P7" s="9" t="s">
        <v>10</v>
      </c>
    </row>
    <row r="8" ht="12" customHeight="1" spans="1:16">
      <c r="A8" s="10"/>
      <c r="B8" s="11"/>
      <c r="C8" s="11"/>
      <c r="D8" s="11" t="s">
        <v>11</v>
      </c>
      <c r="E8" s="11"/>
      <c r="F8" s="11" t="s">
        <v>12</v>
      </c>
      <c r="G8" s="11"/>
      <c r="H8" s="11" t="s">
        <v>11</v>
      </c>
      <c r="I8" s="11"/>
      <c r="J8" s="11" t="s">
        <v>12</v>
      </c>
      <c r="K8" s="11"/>
      <c r="L8" s="11" t="s">
        <v>11</v>
      </c>
      <c r="M8" s="11"/>
      <c r="N8" s="11" t="s">
        <v>12</v>
      </c>
      <c r="O8" s="11"/>
      <c r="P8" s="12"/>
    </row>
    <row r="9" ht="12" customHeight="1" spans="1:16">
      <c r="A9" s="10"/>
      <c r="B9" s="11"/>
      <c r="C9" s="11"/>
      <c r="D9" s="13" t="s">
        <v>13</v>
      </c>
      <c r="E9" s="13" t="s">
        <v>14</v>
      </c>
      <c r="F9" s="13" t="s">
        <v>13</v>
      </c>
      <c r="G9" s="13" t="s">
        <v>14</v>
      </c>
      <c r="H9" s="13" t="s">
        <v>13</v>
      </c>
      <c r="I9" s="13" t="s">
        <v>14</v>
      </c>
      <c r="J9" s="13" t="s">
        <v>13</v>
      </c>
      <c r="K9" s="13" t="s">
        <v>14</v>
      </c>
      <c r="L9" s="11" t="s">
        <v>13</v>
      </c>
      <c r="M9" s="11" t="s">
        <v>15</v>
      </c>
      <c r="N9" s="11" t="s">
        <v>13</v>
      </c>
      <c r="O9" s="11" t="s">
        <v>15</v>
      </c>
      <c r="P9" s="12"/>
    </row>
    <row r="10" ht="12" customHeight="1" spans="1:16">
      <c r="A10" s="14">
        <v>1</v>
      </c>
      <c r="B10" s="15" t="s">
        <v>16</v>
      </c>
      <c r="C10" s="11"/>
      <c r="D10" s="16">
        <v>0</v>
      </c>
      <c r="E10" s="13"/>
      <c r="F10" s="17">
        <v>0</v>
      </c>
      <c r="G10" s="13"/>
      <c r="H10" s="17"/>
      <c r="I10" s="13"/>
      <c r="J10" s="17"/>
      <c r="K10" s="13"/>
      <c r="L10" s="17"/>
      <c r="M10" s="11"/>
      <c r="N10" s="17"/>
      <c r="O10" s="11"/>
      <c r="P10" s="12"/>
    </row>
    <row r="11" ht="12" customHeight="1" spans="1:16">
      <c r="A11" s="14"/>
      <c r="B11" s="15"/>
      <c r="C11" s="18">
        <v>25</v>
      </c>
      <c r="D11" s="16"/>
      <c r="E11" s="17">
        <v>0</v>
      </c>
      <c r="F11" s="17"/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9">
        <f t="shared" ref="P11:P15" si="0">I11+K11-M11-O11</f>
        <v>0</v>
      </c>
    </row>
    <row r="12" ht="12" customHeight="1" spans="1:16">
      <c r="A12" s="14">
        <v>2</v>
      </c>
      <c r="B12" s="15" t="s">
        <v>17</v>
      </c>
      <c r="C12" s="18"/>
      <c r="D12" s="16">
        <v>0</v>
      </c>
      <c r="E12" s="17"/>
      <c r="F12" s="17"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9"/>
    </row>
    <row r="13" ht="12" customHeight="1" spans="1:16">
      <c r="A13" s="14"/>
      <c r="B13" s="15"/>
      <c r="C13" s="18">
        <v>25</v>
      </c>
      <c r="D13" s="16"/>
      <c r="E13" s="17">
        <v>0</v>
      </c>
      <c r="F13" s="17"/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9">
        <f t="shared" si="0"/>
        <v>0</v>
      </c>
    </row>
    <row r="14" ht="12" customHeight="1" spans="1:16">
      <c r="A14" s="14">
        <v>3</v>
      </c>
      <c r="B14" s="15" t="s">
        <v>18</v>
      </c>
      <c r="C14" s="18"/>
      <c r="D14" s="16">
        <v>0</v>
      </c>
      <c r="E14" s="17"/>
      <c r="F14" s="17"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ht="12" customHeight="1" spans="1:16">
      <c r="A15" s="14"/>
      <c r="B15" s="15"/>
      <c r="C15" s="18">
        <v>25</v>
      </c>
      <c r="D15" s="16"/>
      <c r="E15" s="17">
        <v>0</v>
      </c>
      <c r="F15" s="17"/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9">
        <f t="shared" si="0"/>
        <v>0</v>
      </c>
    </row>
    <row r="16" ht="12" customHeight="1" spans="1:16">
      <c r="A16" s="14">
        <v>4</v>
      </c>
      <c r="B16" s="15" t="s">
        <v>19</v>
      </c>
      <c r="C16" s="18"/>
      <c r="D16" s="16">
        <v>0</v>
      </c>
      <c r="E16" s="17"/>
      <c r="F16" s="17"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9"/>
    </row>
    <row r="17" ht="12" customHeight="1" spans="1:16">
      <c r="A17" s="14"/>
      <c r="B17" s="15"/>
      <c r="C17" s="18">
        <v>25</v>
      </c>
      <c r="D17" s="16"/>
      <c r="E17" s="17">
        <v>0</v>
      </c>
      <c r="F17" s="17"/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9">
        <f t="shared" ref="P17:P21" si="1">I17+K17-M17-O17</f>
        <v>0</v>
      </c>
    </row>
    <row r="18" ht="12" customHeight="1" spans="1:16">
      <c r="A18" s="14">
        <v>5</v>
      </c>
      <c r="B18" s="15" t="s">
        <v>20</v>
      </c>
      <c r="C18" s="18"/>
      <c r="D18" s="16">
        <v>0</v>
      </c>
      <c r="E18" s="17"/>
      <c r="F18" s="17"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9"/>
    </row>
    <row r="19" ht="12" customHeight="1" spans="1:16">
      <c r="A19" s="14"/>
      <c r="B19" s="15"/>
      <c r="C19" s="18">
        <v>25</v>
      </c>
      <c r="D19" s="16"/>
      <c r="E19" s="17">
        <v>0</v>
      </c>
      <c r="F19" s="17"/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9">
        <f t="shared" si="1"/>
        <v>0</v>
      </c>
    </row>
    <row r="20" ht="12" customHeight="1" spans="1:16">
      <c r="A20" s="14">
        <v>6</v>
      </c>
      <c r="B20" s="15" t="s">
        <v>21</v>
      </c>
      <c r="C20" s="18"/>
      <c r="D20" s="16">
        <v>0</v>
      </c>
      <c r="E20" s="17"/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9"/>
    </row>
    <row r="21" ht="12" customHeight="1" spans="1:16">
      <c r="A21" s="14"/>
      <c r="B21" s="15"/>
      <c r="C21" s="18">
        <v>25</v>
      </c>
      <c r="D21" s="16"/>
      <c r="E21" s="17">
        <v>0</v>
      </c>
      <c r="F21" s="17"/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9">
        <f t="shared" si="1"/>
        <v>0</v>
      </c>
    </row>
    <row r="22" ht="12" customHeight="1" spans="1:16">
      <c r="A22" s="14">
        <v>7</v>
      </c>
      <c r="B22" s="15" t="s">
        <v>22</v>
      </c>
      <c r="C22" s="18"/>
      <c r="D22" s="16">
        <v>0</v>
      </c>
      <c r="E22" s="17"/>
      <c r="F22" s="17"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9"/>
    </row>
    <row r="23" ht="12" customHeight="1" spans="1:16">
      <c r="A23" s="14"/>
      <c r="B23" s="15"/>
      <c r="C23" s="18">
        <v>25</v>
      </c>
      <c r="D23" s="16"/>
      <c r="E23" s="17">
        <v>0</v>
      </c>
      <c r="F23" s="17"/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9">
        <f t="shared" ref="P23:P27" si="2">I23+K23-M23-O23</f>
        <v>0</v>
      </c>
    </row>
    <row r="24" ht="12" customHeight="1" spans="1:16">
      <c r="A24" s="14">
        <v>8</v>
      </c>
      <c r="B24" s="15" t="s">
        <v>23</v>
      </c>
      <c r="C24" s="18"/>
      <c r="D24" s="16">
        <v>0</v>
      </c>
      <c r="E24" s="17"/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9"/>
    </row>
    <row r="25" ht="12" customHeight="1" spans="1:16">
      <c r="A25" s="14"/>
      <c r="B25" s="15"/>
      <c r="C25" s="18">
        <v>25</v>
      </c>
      <c r="D25" s="16"/>
      <c r="E25" s="17">
        <v>0</v>
      </c>
      <c r="F25" s="17"/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9">
        <f t="shared" si="2"/>
        <v>0</v>
      </c>
    </row>
    <row r="26" ht="12" customHeight="1" spans="1:16">
      <c r="A26" s="14">
        <v>9</v>
      </c>
      <c r="B26" s="15" t="s">
        <v>24</v>
      </c>
      <c r="C26" s="18"/>
      <c r="D26" s="16">
        <v>0</v>
      </c>
      <c r="E26" s="17"/>
      <c r="F26" s="17"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9"/>
    </row>
    <row r="27" ht="12" customHeight="1" spans="1:16">
      <c r="A27" s="14"/>
      <c r="B27" s="15"/>
      <c r="C27" s="18">
        <v>25</v>
      </c>
      <c r="D27" s="16"/>
      <c r="E27" s="17">
        <v>0</v>
      </c>
      <c r="F27" s="17"/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9">
        <f t="shared" si="2"/>
        <v>0</v>
      </c>
    </row>
    <row r="28" ht="12" customHeight="1" spans="1:16">
      <c r="A28" s="14">
        <v>10</v>
      </c>
      <c r="B28" s="15" t="s">
        <v>25</v>
      </c>
      <c r="C28" s="18"/>
      <c r="D28" s="16">
        <v>0</v>
      </c>
      <c r="E28" s="17"/>
      <c r="F28" s="17"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9"/>
    </row>
    <row r="29" ht="12" customHeight="1" spans="1:16">
      <c r="A29" s="14"/>
      <c r="B29" s="15"/>
      <c r="C29" s="18">
        <v>25</v>
      </c>
      <c r="D29" s="16"/>
      <c r="E29" s="17">
        <v>0</v>
      </c>
      <c r="F29" s="17"/>
      <c r="G29" s="17">
        <v>0</v>
      </c>
      <c r="H29" s="17"/>
      <c r="I29" s="17"/>
      <c r="J29" s="17"/>
      <c r="K29" s="17"/>
      <c r="L29" s="17"/>
      <c r="M29" s="17"/>
      <c r="N29" s="17"/>
      <c r="O29" s="17"/>
      <c r="P29" s="19">
        <f t="shared" ref="P29:P33" si="3">I29+K29-M29-O29</f>
        <v>0</v>
      </c>
    </row>
    <row r="30" ht="12" customHeight="1" spans="1:16">
      <c r="A30" s="14">
        <v>11</v>
      </c>
      <c r="B30" s="15" t="s">
        <v>26</v>
      </c>
      <c r="C30" s="18"/>
      <c r="D30" s="16">
        <v>0</v>
      </c>
      <c r="E30" s="17"/>
      <c r="F30" s="17"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9"/>
    </row>
    <row r="31" ht="12" customHeight="1" spans="1:16">
      <c r="A31" s="14"/>
      <c r="B31" s="15"/>
      <c r="C31" s="18">
        <v>25</v>
      </c>
      <c r="D31" s="16"/>
      <c r="E31" s="17">
        <v>0</v>
      </c>
      <c r="F31" s="17"/>
      <c r="G31" s="17">
        <v>0</v>
      </c>
      <c r="H31" s="17"/>
      <c r="I31" s="17"/>
      <c r="J31" s="17"/>
      <c r="K31" s="17"/>
      <c r="L31" s="17"/>
      <c r="M31" s="17"/>
      <c r="N31" s="17"/>
      <c r="O31" s="17"/>
      <c r="P31" s="19">
        <f t="shared" si="3"/>
        <v>0</v>
      </c>
    </row>
    <row r="32" ht="12" customHeight="1" spans="1:16">
      <c r="A32" s="14">
        <v>12</v>
      </c>
      <c r="B32" s="15" t="s">
        <v>27</v>
      </c>
      <c r="C32" s="18"/>
      <c r="D32" s="16">
        <v>0</v>
      </c>
      <c r="E32" s="17"/>
      <c r="F32" s="17"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9"/>
    </row>
    <row r="33" ht="12" customHeight="1" spans="1:16">
      <c r="A33" s="14"/>
      <c r="B33" s="15"/>
      <c r="C33" s="18">
        <v>25</v>
      </c>
      <c r="D33" s="16"/>
      <c r="E33" s="20">
        <v>0</v>
      </c>
      <c r="F33" s="17"/>
      <c r="G33" s="20">
        <v>0</v>
      </c>
      <c r="H33" s="17"/>
      <c r="I33" s="20"/>
      <c r="J33" s="17"/>
      <c r="K33" s="20"/>
      <c r="L33" s="17"/>
      <c r="M33" s="20"/>
      <c r="N33" s="17"/>
      <c r="O33" s="20"/>
      <c r="P33" s="19">
        <f t="shared" si="3"/>
        <v>0</v>
      </c>
    </row>
    <row r="34" ht="12" customHeight="1" spans="1:16">
      <c r="A34" s="14">
        <v>13</v>
      </c>
      <c r="B34" s="15" t="s">
        <v>28</v>
      </c>
      <c r="C34" s="18"/>
      <c r="D34" s="16">
        <v>0</v>
      </c>
      <c r="E34" s="21"/>
      <c r="F34" s="17">
        <v>0</v>
      </c>
      <c r="G34" s="21"/>
      <c r="H34" s="16"/>
      <c r="I34" s="21"/>
      <c r="J34" s="17"/>
      <c r="K34" s="21"/>
      <c r="L34" s="17"/>
      <c r="M34" s="21"/>
      <c r="N34" s="17"/>
      <c r="O34" s="21"/>
      <c r="P34" s="19"/>
    </row>
    <row r="35" ht="12" customHeight="1" spans="1:16">
      <c r="A35" s="14"/>
      <c r="B35" s="15"/>
      <c r="C35" s="18">
        <v>25</v>
      </c>
      <c r="D35" s="16"/>
      <c r="E35" s="17">
        <v>0</v>
      </c>
      <c r="F35" s="17"/>
      <c r="G35" s="17">
        <v>0</v>
      </c>
      <c r="H35" s="16"/>
      <c r="I35" s="17"/>
      <c r="J35" s="17"/>
      <c r="K35" s="17"/>
      <c r="L35" s="17"/>
      <c r="M35" s="22"/>
      <c r="N35" s="17"/>
      <c r="O35" s="22"/>
      <c r="P35" s="19">
        <f t="shared" ref="P35:P39" si="4">I35+K35-M35-O35</f>
        <v>0</v>
      </c>
    </row>
    <row r="36" ht="12" customHeight="1" spans="1:16">
      <c r="A36" s="14">
        <v>14</v>
      </c>
      <c r="B36" s="15" t="s">
        <v>29</v>
      </c>
      <c r="C36" s="18"/>
      <c r="D36" s="16">
        <v>0</v>
      </c>
      <c r="E36" s="17"/>
      <c r="F36" s="17">
        <v>0</v>
      </c>
      <c r="G36" s="17"/>
      <c r="H36" s="16"/>
      <c r="I36" s="17"/>
      <c r="J36" s="17"/>
      <c r="K36" s="17"/>
      <c r="L36" s="17"/>
      <c r="M36" s="22"/>
      <c r="N36" s="17"/>
      <c r="O36" s="22"/>
      <c r="P36" s="19"/>
    </row>
    <row r="37" ht="12" customHeight="1" spans="1:16">
      <c r="A37" s="14"/>
      <c r="B37" s="15"/>
      <c r="C37" s="18">
        <v>25</v>
      </c>
      <c r="D37" s="16"/>
      <c r="E37" s="17">
        <v>0</v>
      </c>
      <c r="F37" s="17"/>
      <c r="G37" s="17">
        <v>0</v>
      </c>
      <c r="H37" s="16"/>
      <c r="I37" s="17"/>
      <c r="J37" s="17"/>
      <c r="K37" s="17"/>
      <c r="L37" s="17"/>
      <c r="M37" s="22"/>
      <c r="N37" s="17"/>
      <c r="O37" s="22"/>
      <c r="P37" s="19">
        <f t="shared" si="4"/>
        <v>0</v>
      </c>
    </row>
    <row r="38" ht="12" customHeight="1" spans="1:16">
      <c r="A38" s="14">
        <v>15</v>
      </c>
      <c r="B38" s="15" t="s">
        <v>30</v>
      </c>
      <c r="C38" s="18"/>
      <c r="D38" s="16">
        <v>0</v>
      </c>
      <c r="E38" s="17"/>
      <c r="F38" s="17">
        <v>0</v>
      </c>
      <c r="G38" s="17"/>
      <c r="H38" s="16"/>
      <c r="I38" s="17"/>
      <c r="J38" s="17"/>
      <c r="K38" s="17"/>
      <c r="L38" s="17"/>
      <c r="M38" s="22"/>
      <c r="N38" s="17"/>
      <c r="O38" s="22"/>
      <c r="P38" s="19"/>
    </row>
    <row r="39" ht="12" customHeight="1" spans="1:16">
      <c r="A39" s="14"/>
      <c r="B39" s="15"/>
      <c r="C39" s="18">
        <v>25</v>
      </c>
      <c r="D39" s="16"/>
      <c r="E39" s="17">
        <v>0</v>
      </c>
      <c r="F39" s="17"/>
      <c r="G39" s="17">
        <v>0</v>
      </c>
      <c r="H39" s="16"/>
      <c r="I39" s="17"/>
      <c r="J39" s="17"/>
      <c r="K39" s="17"/>
      <c r="L39" s="17"/>
      <c r="M39" s="22"/>
      <c r="N39" s="17"/>
      <c r="O39" s="22"/>
      <c r="P39" s="19">
        <f t="shared" si="4"/>
        <v>0</v>
      </c>
    </row>
    <row r="40" ht="12" customHeight="1" spans="1:16">
      <c r="A40" s="14">
        <v>16</v>
      </c>
      <c r="B40" s="15" t="s">
        <v>31</v>
      </c>
      <c r="C40" s="18"/>
      <c r="D40" s="16">
        <v>0</v>
      </c>
      <c r="E40" s="17"/>
      <c r="F40" s="17">
        <v>0</v>
      </c>
      <c r="G40" s="17"/>
      <c r="H40" s="16"/>
      <c r="I40" s="17"/>
      <c r="J40" s="17"/>
      <c r="K40" s="17"/>
      <c r="L40" s="17"/>
      <c r="M40" s="22"/>
      <c r="N40" s="17"/>
      <c r="O40" s="22"/>
      <c r="P40" s="19"/>
    </row>
    <row r="41" ht="12" customHeight="1" spans="1:16">
      <c r="A41" s="14"/>
      <c r="B41" s="15"/>
      <c r="C41" s="18">
        <v>25</v>
      </c>
      <c r="D41" s="16"/>
      <c r="E41" s="17">
        <v>0</v>
      </c>
      <c r="F41" s="17"/>
      <c r="G41" s="17">
        <v>0</v>
      </c>
      <c r="H41" s="16"/>
      <c r="I41" s="17"/>
      <c r="J41" s="17"/>
      <c r="K41" s="17"/>
      <c r="L41" s="17"/>
      <c r="M41" s="22"/>
      <c r="N41" s="17"/>
      <c r="O41" s="22"/>
      <c r="P41" s="19">
        <f t="shared" ref="P41:P45" si="5">I41+K41-M41-O41</f>
        <v>0</v>
      </c>
    </row>
    <row r="42" ht="12" customHeight="1" spans="1:16">
      <c r="A42" s="14">
        <v>17</v>
      </c>
      <c r="B42" s="15" t="s">
        <v>32</v>
      </c>
      <c r="C42" s="18"/>
      <c r="D42" s="16">
        <v>0</v>
      </c>
      <c r="E42" s="17"/>
      <c r="F42" s="17">
        <v>0</v>
      </c>
      <c r="G42" s="17"/>
      <c r="H42" s="16"/>
      <c r="I42" s="17"/>
      <c r="J42" s="17"/>
      <c r="K42" s="17"/>
      <c r="L42" s="17"/>
      <c r="M42" s="22"/>
      <c r="N42" s="17"/>
      <c r="O42" s="22"/>
      <c r="P42" s="19"/>
    </row>
    <row r="43" ht="12" customHeight="1" spans="1:16">
      <c r="A43" s="14"/>
      <c r="B43" s="15"/>
      <c r="C43" s="18">
        <v>25</v>
      </c>
      <c r="D43" s="16"/>
      <c r="E43" s="17">
        <v>0</v>
      </c>
      <c r="F43" s="17"/>
      <c r="G43" s="17">
        <v>0</v>
      </c>
      <c r="H43" s="16"/>
      <c r="I43" s="17"/>
      <c r="J43" s="17"/>
      <c r="K43" s="17"/>
      <c r="L43" s="17"/>
      <c r="M43" s="22"/>
      <c r="N43" s="17"/>
      <c r="O43" s="22"/>
      <c r="P43" s="19">
        <f t="shared" si="5"/>
        <v>0</v>
      </c>
    </row>
    <row r="44" ht="12" customHeight="1" spans="1:16">
      <c r="A44" s="14">
        <v>18</v>
      </c>
      <c r="B44" s="15" t="s">
        <v>33</v>
      </c>
      <c r="C44" s="18"/>
      <c r="D44" s="16">
        <v>0</v>
      </c>
      <c r="E44" s="17"/>
      <c r="F44" s="17">
        <v>0</v>
      </c>
      <c r="G44" s="17"/>
      <c r="H44" s="16"/>
      <c r="I44" s="17"/>
      <c r="J44" s="17"/>
      <c r="K44" s="17"/>
      <c r="L44" s="17"/>
      <c r="M44" s="22"/>
      <c r="N44" s="17"/>
      <c r="O44" s="22"/>
      <c r="P44" s="19"/>
    </row>
    <row r="45" ht="12" customHeight="1" spans="1:16">
      <c r="A45" s="14"/>
      <c r="B45" s="15"/>
      <c r="C45" s="18">
        <v>25</v>
      </c>
      <c r="D45" s="16"/>
      <c r="E45" s="17">
        <v>0</v>
      </c>
      <c r="F45" s="17"/>
      <c r="G45" s="17">
        <v>0</v>
      </c>
      <c r="H45" s="16"/>
      <c r="I45" s="17"/>
      <c r="J45" s="17"/>
      <c r="K45" s="17"/>
      <c r="L45" s="17"/>
      <c r="M45" s="22"/>
      <c r="N45" s="17"/>
      <c r="O45" s="22"/>
      <c r="P45" s="19">
        <f t="shared" si="5"/>
        <v>0</v>
      </c>
    </row>
    <row r="46" ht="12" customHeight="1" spans="1:16">
      <c r="A46" s="14">
        <v>19</v>
      </c>
      <c r="B46" s="15" t="s">
        <v>34</v>
      </c>
      <c r="C46" s="18"/>
      <c r="D46" s="16">
        <v>0</v>
      </c>
      <c r="E46" s="17"/>
      <c r="F46" s="17">
        <v>0</v>
      </c>
      <c r="G46" s="17"/>
      <c r="H46" s="16"/>
      <c r="I46" s="17"/>
      <c r="J46" s="17"/>
      <c r="K46" s="17"/>
      <c r="L46" s="17"/>
      <c r="M46" s="22"/>
      <c r="N46" s="17"/>
      <c r="O46" s="22"/>
      <c r="P46" s="19"/>
    </row>
    <row r="47" ht="12" customHeight="1" spans="1:16">
      <c r="A47" s="14"/>
      <c r="B47" s="15"/>
      <c r="C47" s="18">
        <v>25</v>
      </c>
      <c r="D47" s="16"/>
      <c r="E47" s="17">
        <v>0</v>
      </c>
      <c r="F47" s="17"/>
      <c r="G47" s="17">
        <v>0</v>
      </c>
      <c r="H47" s="16"/>
      <c r="I47" s="17"/>
      <c r="J47" s="17"/>
      <c r="K47" s="17"/>
      <c r="L47" s="17"/>
      <c r="M47" s="22"/>
      <c r="N47" s="17"/>
      <c r="O47" s="22"/>
      <c r="P47" s="19">
        <f t="shared" ref="P47:P51" si="6">I47+K47-M47-O47</f>
        <v>0</v>
      </c>
    </row>
    <row r="48" ht="12" customHeight="1" spans="1:16">
      <c r="A48" s="14">
        <v>20</v>
      </c>
      <c r="B48" s="15" t="s">
        <v>35</v>
      </c>
      <c r="C48" s="18"/>
      <c r="D48" s="16">
        <v>0</v>
      </c>
      <c r="E48" s="17"/>
      <c r="F48" s="17">
        <v>0</v>
      </c>
      <c r="G48" s="17"/>
      <c r="H48" s="16"/>
      <c r="I48" s="17"/>
      <c r="J48" s="17"/>
      <c r="K48" s="17"/>
      <c r="L48" s="17"/>
      <c r="M48" s="22"/>
      <c r="N48" s="17"/>
      <c r="O48" s="22"/>
      <c r="P48" s="19"/>
    </row>
    <row r="49" ht="12" customHeight="1" spans="1:16">
      <c r="A49" s="14"/>
      <c r="B49" s="15"/>
      <c r="C49" s="18">
        <v>25</v>
      </c>
      <c r="D49" s="16"/>
      <c r="E49" s="17">
        <v>0</v>
      </c>
      <c r="F49" s="17"/>
      <c r="G49" s="17">
        <v>0</v>
      </c>
      <c r="H49" s="16"/>
      <c r="I49" s="17"/>
      <c r="J49" s="17"/>
      <c r="K49" s="17"/>
      <c r="L49" s="17"/>
      <c r="M49" s="22"/>
      <c r="N49" s="17"/>
      <c r="O49" s="22"/>
      <c r="P49" s="19">
        <f t="shared" si="6"/>
        <v>0</v>
      </c>
    </row>
    <row r="50" ht="12" customHeight="1" spans="1:16">
      <c r="A50" s="14">
        <v>21</v>
      </c>
      <c r="B50" s="15" t="s">
        <v>36</v>
      </c>
      <c r="C50" s="18"/>
      <c r="D50" s="16">
        <v>0</v>
      </c>
      <c r="E50" s="17"/>
      <c r="F50" s="17">
        <v>0</v>
      </c>
      <c r="G50" s="17"/>
      <c r="H50" s="16"/>
      <c r="I50" s="17"/>
      <c r="J50" s="17"/>
      <c r="K50" s="17"/>
      <c r="L50" s="17"/>
      <c r="M50" s="22"/>
      <c r="N50" s="17"/>
      <c r="O50" s="22"/>
      <c r="P50" s="19"/>
    </row>
    <row r="51" ht="12" customHeight="1" spans="1:16">
      <c r="A51" s="14"/>
      <c r="B51" s="15"/>
      <c r="C51" s="18">
        <v>25</v>
      </c>
      <c r="D51" s="16"/>
      <c r="E51" s="17">
        <v>0</v>
      </c>
      <c r="F51" s="17"/>
      <c r="G51" s="17">
        <v>0</v>
      </c>
      <c r="H51" s="16"/>
      <c r="I51" s="17"/>
      <c r="J51" s="17"/>
      <c r="K51" s="17"/>
      <c r="L51" s="17"/>
      <c r="M51" s="22"/>
      <c r="N51" s="17"/>
      <c r="O51" s="22"/>
      <c r="P51" s="19">
        <f t="shared" si="6"/>
        <v>0</v>
      </c>
    </row>
    <row r="52" ht="12" customHeight="1" spans="1:16">
      <c r="A52" s="14">
        <v>22</v>
      </c>
      <c r="B52" s="15" t="s">
        <v>37</v>
      </c>
      <c r="C52" s="18"/>
      <c r="D52" s="16">
        <v>0</v>
      </c>
      <c r="E52" s="17"/>
      <c r="F52" s="17">
        <v>0</v>
      </c>
      <c r="G52" s="17"/>
      <c r="H52" s="16"/>
      <c r="I52" s="17"/>
      <c r="J52" s="17"/>
      <c r="K52" s="17"/>
      <c r="L52" s="17"/>
      <c r="M52" s="22"/>
      <c r="N52" s="17"/>
      <c r="O52" s="22"/>
      <c r="P52" s="19"/>
    </row>
    <row r="53" ht="12" customHeight="1" spans="1:16">
      <c r="A53" s="14"/>
      <c r="B53" s="15"/>
      <c r="C53" s="18">
        <v>25</v>
      </c>
      <c r="D53" s="16"/>
      <c r="E53" s="17">
        <v>0</v>
      </c>
      <c r="F53" s="17"/>
      <c r="G53" s="17">
        <v>0</v>
      </c>
      <c r="H53" s="16"/>
      <c r="I53" s="17"/>
      <c r="J53" s="17"/>
      <c r="K53" s="17"/>
      <c r="L53" s="17"/>
      <c r="M53" s="22"/>
      <c r="N53" s="17"/>
      <c r="O53" s="22"/>
      <c r="P53" s="19">
        <f t="shared" ref="P53:P57" si="7">I53+K53-M53-O53</f>
        <v>0</v>
      </c>
    </row>
    <row r="54" ht="12" customHeight="1" spans="1:16">
      <c r="A54" s="14">
        <v>23</v>
      </c>
      <c r="B54" s="15" t="s">
        <v>38</v>
      </c>
      <c r="C54" s="18"/>
      <c r="D54" s="16">
        <v>0</v>
      </c>
      <c r="E54" s="17"/>
      <c r="F54" s="17">
        <v>0</v>
      </c>
      <c r="G54" s="17"/>
      <c r="H54" s="16"/>
      <c r="I54" s="17"/>
      <c r="J54" s="17"/>
      <c r="K54" s="17"/>
      <c r="L54" s="17"/>
      <c r="M54" s="22"/>
      <c r="N54" s="17"/>
      <c r="O54" s="22"/>
      <c r="P54" s="19"/>
    </row>
    <row r="55" ht="12" customHeight="1" spans="1:16">
      <c r="A55" s="14"/>
      <c r="B55" s="15"/>
      <c r="C55" s="18">
        <v>25</v>
      </c>
      <c r="D55" s="16"/>
      <c r="E55" s="17">
        <v>0</v>
      </c>
      <c r="F55" s="17"/>
      <c r="G55" s="17">
        <v>0</v>
      </c>
      <c r="H55" s="16"/>
      <c r="I55" s="17"/>
      <c r="J55" s="17"/>
      <c r="K55" s="17"/>
      <c r="L55" s="17"/>
      <c r="M55" s="22"/>
      <c r="N55" s="17"/>
      <c r="O55" s="22"/>
      <c r="P55" s="19">
        <f t="shared" si="7"/>
        <v>0</v>
      </c>
    </row>
    <row r="56" ht="12" customHeight="1" spans="1:16">
      <c r="A56" s="14">
        <v>24</v>
      </c>
      <c r="B56" s="15" t="s">
        <v>39</v>
      </c>
      <c r="C56" s="18"/>
      <c r="D56" s="16">
        <v>0</v>
      </c>
      <c r="E56" s="17"/>
      <c r="F56" s="17">
        <v>0</v>
      </c>
      <c r="G56" s="17"/>
      <c r="H56" s="16"/>
      <c r="I56" s="17"/>
      <c r="J56" s="17"/>
      <c r="K56" s="17"/>
      <c r="L56" s="17"/>
      <c r="M56" s="22"/>
      <c r="N56" s="17"/>
      <c r="O56" s="22"/>
      <c r="P56" s="19"/>
    </row>
    <row r="57" ht="12" customHeight="1" spans="1:16">
      <c r="A57" s="14"/>
      <c r="B57" s="15"/>
      <c r="C57" s="18">
        <v>25</v>
      </c>
      <c r="D57" s="16"/>
      <c r="E57" s="17">
        <v>0</v>
      </c>
      <c r="F57" s="17"/>
      <c r="G57" s="17">
        <v>0</v>
      </c>
      <c r="H57" s="16"/>
      <c r="I57" s="17"/>
      <c r="J57" s="17"/>
      <c r="K57" s="17"/>
      <c r="L57" s="17"/>
      <c r="M57" s="22"/>
      <c r="N57" s="17"/>
      <c r="O57" s="22"/>
      <c r="P57" s="19">
        <f t="shared" si="7"/>
        <v>0</v>
      </c>
    </row>
    <row r="58" ht="12" customHeight="1" spans="1:16">
      <c r="A58" s="14">
        <v>25</v>
      </c>
      <c r="B58" s="15" t="s">
        <v>40</v>
      </c>
      <c r="C58" s="18"/>
      <c r="D58" s="16">
        <v>0</v>
      </c>
      <c r="E58" s="17"/>
      <c r="F58" s="17">
        <v>0</v>
      </c>
      <c r="G58" s="17"/>
      <c r="H58" s="16"/>
      <c r="I58" s="17"/>
      <c r="J58" s="17"/>
      <c r="K58" s="17"/>
      <c r="L58" s="17"/>
      <c r="M58" s="22"/>
      <c r="N58" s="17"/>
      <c r="O58" s="22"/>
      <c r="P58" s="19"/>
    </row>
    <row r="59" ht="12" customHeight="1" spans="1:16">
      <c r="A59" s="14"/>
      <c r="B59" s="15"/>
      <c r="C59" s="18">
        <v>25</v>
      </c>
      <c r="D59" s="16"/>
      <c r="E59" s="17">
        <v>0</v>
      </c>
      <c r="F59" s="17"/>
      <c r="G59" s="17">
        <v>0</v>
      </c>
      <c r="H59" s="16"/>
      <c r="I59" s="17"/>
      <c r="J59" s="17"/>
      <c r="K59" s="17"/>
      <c r="L59" s="17"/>
      <c r="M59" s="22"/>
      <c r="N59" s="17"/>
      <c r="O59" s="22"/>
      <c r="P59" s="19">
        <f t="shared" ref="P59:P63" si="8">I59+K59-M59-O59</f>
        <v>0</v>
      </c>
    </row>
    <row r="60" ht="12" customHeight="1" spans="1:16">
      <c r="A60" s="14">
        <v>26</v>
      </c>
      <c r="B60" s="15" t="s">
        <v>41</v>
      </c>
      <c r="C60" s="18"/>
      <c r="D60" s="16">
        <v>0</v>
      </c>
      <c r="E60" s="17"/>
      <c r="F60" s="17">
        <v>0</v>
      </c>
      <c r="G60" s="17"/>
      <c r="H60" s="16"/>
      <c r="I60" s="17"/>
      <c r="J60" s="17"/>
      <c r="K60" s="17"/>
      <c r="L60" s="17"/>
      <c r="M60" s="22"/>
      <c r="N60" s="17"/>
      <c r="O60" s="22"/>
      <c r="P60" s="19"/>
    </row>
    <row r="61" ht="12" customHeight="1" spans="1:16">
      <c r="A61" s="14"/>
      <c r="B61" s="15"/>
      <c r="C61" s="18">
        <v>25</v>
      </c>
      <c r="D61" s="16"/>
      <c r="E61" s="17">
        <v>0</v>
      </c>
      <c r="F61" s="17"/>
      <c r="G61" s="17">
        <v>0</v>
      </c>
      <c r="H61" s="16"/>
      <c r="I61" s="17"/>
      <c r="J61" s="17"/>
      <c r="K61" s="17"/>
      <c r="L61" s="17"/>
      <c r="M61" s="22"/>
      <c r="N61" s="17"/>
      <c r="O61" s="22"/>
      <c r="P61" s="19">
        <f t="shared" si="8"/>
        <v>0</v>
      </c>
    </row>
    <row r="62" ht="12" customHeight="1" spans="1:16">
      <c r="A62" s="14">
        <v>27</v>
      </c>
      <c r="B62" s="15" t="s">
        <v>42</v>
      </c>
      <c r="C62" s="18"/>
      <c r="D62" s="16">
        <v>0</v>
      </c>
      <c r="E62" s="17"/>
      <c r="F62" s="17">
        <v>0</v>
      </c>
      <c r="G62" s="17"/>
      <c r="H62" s="16"/>
      <c r="I62" s="17"/>
      <c r="J62" s="17"/>
      <c r="K62" s="17"/>
      <c r="L62" s="17"/>
      <c r="M62" s="22"/>
      <c r="N62" s="17"/>
      <c r="O62" s="22"/>
      <c r="P62" s="19"/>
    </row>
    <row r="63" ht="12" customHeight="1" spans="1:16">
      <c r="A63" s="14"/>
      <c r="B63" s="15"/>
      <c r="C63" s="18">
        <v>25</v>
      </c>
      <c r="D63" s="16"/>
      <c r="E63" s="17">
        <v>0</v>
      </c>
      <c r="F63" s="17"/>
      <c r="G63" s="17">
        <v>0</v>
      </c>
      <c r="H63" s="16"/>
      <c r="I63" s="17"/>
      <c r="J63" s="17"/>
      <c r="K63" s="17"/>
      <c r="L63" s="17"/>
      <c r="M63" s="22"/>
      <c r="N63" s="17"/>
      <c r="O63" s="22"/>
      <c r="P63" s="19">
        <f t="shared" si="8"/>
        <v>0</v>
      </c>
    </row>
    <row r="64" ht="12" customHeight="1" spans="1:16">
      <c r="A64" s="14">
        <v>28</v>
      </c>
      <c r="B64" s="15" t="s">
        <v>43</v>
      </c>
      <c r="C64" s="18"/>
      <c r="D64" s="16">
        <v>0</v>
      </c>
      <c r="E64" s="17"/>
      <c r="F64" s="17">
        <v>0</v>
      </c>
      <c r="G64" s="17"/>
      <c r="H64" s="16"/>
      <c r="I64" s="17"/>
      <c r="J64" s="17"/>
      <c r="K64" s="17"/>
      <c r="L64" s="17"/>
      <c r="M64" s="22"/>
      <c r="N64" s="17"/>
      <c r="O64" s="22"/>
      <c r="P64" s="19"/>
    </row>
    <row r="65" ht="12" customHeight="1" spans="1:16">
      <c r="A65" s="14"/>
      <c r="B65" s="15"/>
      <c r="C65" s="18">
        <v>25</v>
      </c>
      <c r="D65" s="16"/>
      <c r="E65" s="17">
        <v>0</v>
      </c>
      <c r="F65" s="17"/>
      <c r="G65" s="17">
        <v>0</v>
      </c>
      <c r="H65" s="16"/>
      <c r="I65" s="17"/>
      <c r="J65" s="17"/>
      <c r="K65" s="17"/>
      <c r="L65" s="17"/>
      <c r="M65" s="22"/>
      <c r="N65" s="17"/>
      <c r="O65" s="22"/>
      <c r="P65" s="19">
        <f t="shared" ref="P65:P69" si="9">I65+K65-M65-O65</f>
        <v>0</v>
      </c>
    </row>
    <row r="66" ht="12" customHeight="1" spans="1:16">
      <c r="A66" s="14">
        <v>29</v>
      </c>
      <c r="B66" s="15" t="s">
        <v>44</v>
      </c>
      <c r="C66" s="18"/>
      <c r="D66" s="16">
        <v>0</v>
      </c>
      <c r="E66" s="17"/>
      <c r="F66" s="17">
        <v>0</v>
      </c>
      <c r="G66" s="17"/>
      <c r="H66" s="16"/>
      <c r="I66" s="17"/>
      <c r="J66" s="17"/>
      <c r="K66" s="17"/>
      <c r="L66" s="17"/>
      <c r="M66" s="22"/>
      <c r="N66" s="17"/>
      <c r="O66" s="22"/>
      <c r="P66" s="19"/>
    </row>
    <row r="67" ht="12" customHeight="1" spans="1:16">
      <c r="A67" s="14"/>
      <c r="B67" s="15"/>
      <c r="C67" s="18">
        <v>25</v>
      </c>
      <c r="D67" s="16"/>
      <c r="E67" s="17">
        <v>0</v>
      </c>
      <c r="F67" s="17"/>
      <c r="G67" s="17">
        <v>0</v>
      </c>
      <c r="H67" s="16"/>
      <c r="I67" s="17"/>
      <c r="J67" s="17"/>
      <c r="K67" s="17"/>
      <c r="L67" s="17"/>
      <c r="M67" s="22"/>
      <c r="N67" s="17"/>
      <c r="O67" s="22"/>
      <c r="P67" s="19">
        <f t="shared" si="9"/>
        <v>0</v>
      </c>
    </row>
    <row r="68" ht="12" customHeight="1" spans="1:16">
      <c r="A68" s="14">
        <v>30</v>
      </c>
      <c r="B68" s="15" t="s">
        <v>45</v>
      </c>
      <c r="C68" s="18"/>
      <c r="D68" s="16">
        <v>0</v>
      </c>
      <c r="E68" s="17"/>
      <c r="F68" s="17">
        <v>0</v>
      </c>
      <c r="G68" s="17"/>
      <c r="H68" s="16"/>
      <c r="I68" s="17"/>
      <c r="J68" s="17"/>
      <c r="K68" s="17"/>
      <c r="L68" s="17"/>
      <c r="M68" s="22"/>
      <c r="N68" s="17"/>
      <c r="O68" s="22"/>
      <c r="P68" s="19"/>
    </row>
    <row r="69" ht="12" customHeight="1" spans="1:16">
      <c r="A69" s="14"/>
      <c r="B69" s="15"/>
      <c r="C69" s="18">
        <v>25</v>
      </c>
      <c r="D69" s="16"/>
      <c r="E69" s="17">
        <v>0</v>
      </c>
      <c r="F69" s="17"/>
      <c r="G69" s="17">
        <v>0</v>
      </c>
      <c r="H69" s="16"/>
      <c r="I69" s="17"/>
      <c r="J69" s="17"/>
      <c r="K69" s="17"/>
      <c r="L69" s="17"/>
      <c r="M69" s="22"/>
      <c r="N69" s="17"/>
      <c r="O69" s="22"/>
      <c r="P69" s="19">
        <f t="shared" si="9"/>
        <v>0</v>
      </c>
    </row>
    <row r="70" ht="12" customHeight="1" spans="1:16">
      <c r="A70" s="14">
        <v>31</v>
      </c>
      <c r="B70" s="15" t="s">
        <v>46</v>
      </c>
      <c r="C70" s="18"/>
      <c r="D70" s="16">
        <v>0</v>
      </c>
      <c r="E70" s="17"/>
      <c r="F70" s="17">
        <v>0</v>
      </c>
      <c r="G70" s="17"/>
      <c r="H70" s="16"/>
      <c r="I70" s="17"/>
      <c r="J70" s="17"/>
      <c r="K70" s="17"/>
      <c r="L70" s="17"/>
      <c r="M70" s="22"/>
      <c r="N70" s="17"/>
      <c r="O70" s="22"/>
      <c r="P70" s="19"/>
    </row>
    <row r="71" ht="12" customHeight="1" spans="1:16">
      <c r="A71" s="14"/>
      <c r="B71" s="15"/>
      <c r="C71" s="18">
        <v>25</v>
      </c>
      <c r="D71" s="16"/>
      <c r="E71" s="17">
        <v>0</v>
      </c>
      <c r="F71" s="17"/>
      <c r="G71" s="17">
        <v>0</v>
      </c>
      <c r="H71" s="16"/>
      <c r="I71" s="17"/>
      <c r="J71" s="17"/>
      <c r="K71" s="17"/>
      <c r="L71" s="17"/>
      <c r="M71" s="22"/>
      <c r="N71" s="17"/>
      <c r="O71" s="22"/>
      <c r="P71" s="19">
        <v>0</v>
      </c>
    </row>
    <row r="72" ht="12" customHeight="1" spans="1:16">
      <c r="A72" s="14">
        <v>32</v>
      </c>
      <c r="B72" s="15" t="s">
        <v>47</v>
      </c>
      <c r="C72" s="18"/>
      <c r="D72" s="16">
        <v>0</v>
      </c>
      <c r="E72" s="17"/>
      <c r="F72" s="17">
        <v>0</v>
      </c>
      <c r="G72" s="17"/>
      <c r="H72" s="16"/>
      <c r="I72" s="17"/>
      <c r="J72" s="17"/>
      <c r="K72" s="17"/>
      <c r="L72" s="17"/>
      <c r="M72" s="22"/>
      <c r="N72" s="17"/>
      <c r="O72" s="22"/>
      <c r="P72" s="19"/>
    </row>
    <row r="73" ht="12" customHeight="1" spans="1:16">
      <c r="A73" s="14"/>
      <c r="B73" s="15"/>
      <c r="C73" s="18">
        <v>25</v>
      </c>
      <c r="D73" s="16"/>
      <c r="E73" s="17">
        <v>0</v>
      </c>
      <c r="F73" s="17"/>
      <c r="G73" s="17">
        <v>0</v>
      </c>
      <c r="H73" s="16"/>
      <c r="I73" s="17"/>
      <c r="J73" s="17"/>
      <c r="K73" s="17"/>
      <c r="L73" s="17"/>
      <c r="M73" s="22"/>
      <c r="N73" s="17"/>
      <c r="O73" s="22"/>
      <c r="P73" s="19">
        <f t="shared" ref="P73:P77" si="10">I73+K73-M73-O73</f>
        <v>0</v>
      </c>
    </row>
    <row r="74" ht="12" customHeight="1" spans="1:16">
      <c r="A74" s="14">
        <v>33</v>
      </c>
      <c r="B74" s="15" t="s">
        <v>48</v>
      </c>
      <c r="C74" s="18"/>
      <c r="D74" s="16">
        <v>0</v>
      </c>
      <c r="E74" s="17"/>
      <c r="F74" s="17">
        <v>0</v>
      </c>
      <c r="G74" s="17"/>
      <c r="H74" s="16"/>
      <c r="I74" s="17"/>
      <c r="J74" s="17"/>
      <c r="K74" s="17"/>
      <c r="L74" s="17"/>
      <c r="M74" s="22"/>
      <c r="N74" s="17"/>
      <c r="O74" s="22"/>
      <c r="P74" s="19"/>
    </row>
    <row r="75" ht="12" customHeight="1" spans="1:16">
      <c r="A75" s="14"/>
      <c r="B75" s="15"/>
      <c r="C75" s="18">
        <v>25</v>
      </c>
      <c r="D75" s="16"/>
      <c r="E75" s="17">
        <v>0</v>
      </c>
      <c r="F75" s="17"/>
      <c r="G75" s="17">
        <v>0</v>
      </c>
      <c r="H75" s="16"/>
      <c r="I75" s="17"/>
      <c r="J75" s="17"/>
      <c r="K75" s="17"/>
      <c r="L75" s="17"/>
      <c r="M75" s="22"/>
      <c r="N75" s="17"/>
      <c r="O75" s="22"/>
      <c r="P75" s="19">
        <f t="shared" si="10"/>
        <v>0</v>
      </c>
    </row>
    <row r="76" ht="12" customHeight="1" spans="1:16">
      <c r="A76" s="14">
        <v>34</v>
      </c>
      <c r="B76" s="15" t="s">
        <v>49</v>
      </c>
      <c r="C76" s="18"/>
      <c r="D76" s="16">
        <v>0</v>
      </c>
      <c r="E76" s="17"/>
      <c r="F76" s="17">
        <v>0</v>
      </c>
      <c r="G76" s="17"/>
      <c r="H76" s="16"/>
      <c r="I76" s="17"/>
      <c r="J76" s="17"/>
      <c r="K76" s="17"/>
      <c r="L76" s="17"/>
      <c r="M76" s="22"/>
      <c r="N76" s="17"/>
      <c r="O76" s="22"/>
      <c r="P76" s="19"/>
    </row>
    <row r="77" ht="12" customHeight="1" spans="1:16">
      <c r="A77" s="14"/>
      <c r="B77" s="15"/>
      <c r="C77" s="18">
        <v>25</v>
      </c>
      <c r="D77" s="16"/>
      <c r="E77" s="17">
        <v>0</v>
      </c>
      <c r="F77" s="17"/>
      <c r="G77" s="17">
        <v>0</v>
      </c>
      <c r="H77" s="16"/>
      <c r="I77" s="17"/>
      <c r="J77" s="17"/>
      <c r="K77" s="17"/>
      <c r="L77" s="17"/>
      <c r="M77" s="22"/>
      <c r="N77" s="17"/>
      <c r="O77" s="22"/>
      <c r="P77" s="19">
        <f t="shared" si="10"/>
        <v>0</v>
      </c>
    </row>
    <row r="78" ht="12" customHeight="1" spans="1:16">
      <c r="A78" s="14">
        <v>35</v>
      </c>
      <c r="B78" s="15" t="s">
        <v>50</v>
      </c>
      <c r="C78" s="18"/>
      <c r="D78" s="16">
        <v>0</v>
      </c>
      <c r="E78" s="17"/>
      <c r="F78" s="17">
        <v>0</v>
      </c>
      <c r="G78" s="17"/>
      <c r="H78" s="16"/>
      <c r="I78" s="17"/>
      <c r="J78" s="17"/>
      <c r="K78" s="17"/>
      <c r="L78" s="17"/>
      <c r="M78" s="22"/>
      <c r="N78" s="17"/>
      <c r="O78" s="22"/>
      <c r="P78" s="19"/>
    </row>
    <row r="79" ht="12" customHeight="1" spans="1:16">
      <c r="A79" s="14"/>
      <c r="B79" s="15"/>
      <c r="C79" s="18">
        <v>25</v>
      </c>
      <c r="D79" s="16"/>
      <c r="E79" s="17">
        <v>0</v>
      </c>
      <c r="F79" s="17"/>
      <c r="G79" s="17">
        <v>0</v>
      </c>
      <c r="H79" s="16"/>
      <c r="I79" s="17"/>
      <c r="J79" s="17"/>
      <c r="K79" s="17"/>
      <c r="L79" s="17"/>
      <c r="M79" s="22"/>
      <c r="N79" s="17"/>
      <c r="O79" s="22"/>
      <c r="P79" s="19">
        <f t="shared" ref="P79:P83" si="11">I79+K79-M79-O79</f>
        <v>0</v>
      </c>
    </row>
    <row r="80" ht="12" customHeight="1" spans="1:16">
      <c r="A80" s="14">
        <v>36</v>
      </c>
      <c r="B80" s="15" t="s">
        <v>51</v>
      </c>
      <c r="C80" s="18"/>
      <c r="D80" s="16">
        <v>0</v>
      </c>
      <c r="E80" s="17"/>
      <c r="F80" s="17">
        <v>0</v>
      </c>
      <c r="G80" s="17"/>
      <c r="H80" s="16"/>
      <c r="I80" s="17"/>
      <c r="J80" s="17"/>
      <c r="K80" s="17"/>
      <c r="L80" s="17"/>
      <c r="M80" s="22"/>
      <c r="N80" s="17"/>
      <c r="O80" s="22"/>
      <c r="P80" s="19"/>
    </row>
    <row r="81" ht="12" customHeight="1" spans="1:16">
      <c r="A81" s="14"/>
      <c r="B81" s="15"/>
      <c r="C81" s="18">
        <v>25</v>
      </c>
      <c r="D81" s="16"/>
      <c r="E81" s="17">
        <v>0</v>
      </c>
      <c r="F81" s="17"/>
      <c r="G81" s="17">
        <v>0</v>
      </c>
      <c r="H81" s="16"/>
      <c r="I81" s="17"/>
      <c r="J81" s="17"/>
      <c r="K81" s="17"/>
      <c r="L81" s="17"/>
      <c r="M81" s="22"/>
      <c r="N81" s="17"/>
      <c r="O81" s="22"/>
      <c r="P81" s="19">
        <f t="shared" si="11"/>
        <v>0</v>
      </c>
    </row>
    <row r="82" ht="12" customHeight="1" spans="1:16">
      <c r="A82" s="14">
        <v>37</v>
      </c>
      <c r="B82" s="15" t="s">
        <v>52</v>
      </c>
      <c r="C82" s="18"/>
      <c r="D82" s="16">
        <v>0</v>
      </c>
      <c r="E82" s="17"/>
      <c r="F82" s="17">
        <v>0</v>
      </c>
      <c r="G82" s="17"/>
      <c r="H82" s="16"/>
      <c r="I82" s="17"/>
      <c r="J82" s="17"/>
      <c r="K82" s="17"/>
      <c r="L82" s="17"/>
      <c r="M82" s="22"/>
      <c r="N82" s="17"/>
      <c r="O82" s="22"/>
      <c r="P82" s="19"/>
    </row>
    <row r="83" ht="12" customHeight="1" spans="1:16">
      <c r="A83" s="14"/>
      <c r="B83" s="15"/>
      <c r="C83" s="18">
        <v>25</v>
      </c>
      <c r="D83" s="16"/>
      <c r="E83" s="17">
        <v>0</v>
      </c>
      <c r="F83" s="17"/>
      <c r="G83" s="17">
        <v>0</v>
      </c>
      <c r="H83" s="16"/>
      <c r="I83" s="17"/>
      <c r="J83" s="17"/>
      <c r="K83" s="17"/>
      <c r="L83" s="17"/>
      <c r="M83" s="22"/>
      <c r="N83" s="17"/>
      <c r="O83" s="22"/>
      <c r="P83" s="19">
        <f t="shared" si="11"/>
        <v>0</v>
      </c>
    </row>
    <row r="84" ht="12" customHeight="1" spans="1:16">
      <c r="A84" s="14">
        <v>38</v>
      </c>
      <c r="B84" s="15" t="s">
        <v>53</v>
      </c>
      <c r="C84" s="18"/>
      <c r="D84" s="16">
        <v>0</v>
      </c>
      <c r="E84" s="17"/>
      <c r="F84" s="17">
        <v>0</v>
      </c>
      <c r="G84" s="17"/>
      <c r="H84" s="16"/>
      <c r="I84" s="17"/>
      <c r="J84" s="17"/>
      <c r="K84" s="17"/>
      <c r="L84" s="17"/>
      <c r="M84" s="22"/>
      <c r="N84" s="17"/>
      <c r="O84" s="22"/>
      <c r="P84" s="19"/>
    </row>
    <row r="85" ht="12" customHeight="1" spans="1:16">
      <c r="A85" s="14"/>
      <c r="B85" s="15"/>
      <c r="C85" s="18">
        <v>25</v>
      </c>
      <c r="D85" s="16"/>
      <c r="E85" s="17">
        <v>0</v>
      </c>
      <c r="F85" s="17"/>
      <c r="G85" s="17">
        <v>0</v>
      </c>
      <c r="H85" s="16"/>
      <c r="I85" s="17"/>
      <c r="J85" s="17"/>
      <c r="K85" s="17"/>
      <c r="L85" s="17"/>
      <c r="M85" s="22"/>
      <c r="N85" s="17"/>
      <c r="O85" s="22"/>
      <c r="P85" s="19">
        <f t="shared" ref="P85:P89" si="12">I85+K85-M85-O85</f>
        <v>0</v>
      </c>
    </row>
    <row r="86" ht="12" customHeight="1" spans="1:16">
      <c r="A86" s="14">
        <v>39</v>
      </c>
      <c r="B86" s="15" t="s">
        <v>54</v>
      </c>
      <c r="C86" s="18"/>
      <c r="D86" s="16">
        <v>0</v>
      </c>
      <c r="E86" s="17"/>
      <c r="F86" s="17">
        <v>0</v>
      </c>
      <c r="G86" s="17"/>
      <c r="H86" s="16"/>
      <c r="I86" s="17"/>
      <c r="J86" s="17"/>
      <c r="K86" s="17"/>
      <c r="L86" s="17"/>
      <c r="M86" s="22"/>
      <c r="N86" s="17"/>
      <c r="O86" s="22"/>
      <c r="P86" s="19"/>
    </row>
    <row r="87" ht="12" customHeight="1" spans="1:16">
      <c r="A87" s="14"/>
      <c r="B87" s="15"/>
      <c r="C87" s="18">
        <v>25</v>
      </c>
      <c r="D87" s="16"/>
      <c r="E87" s="17">
        <v>0</v>
      </c>
      <c r="F87" s="17"/>
      <c r="G87" s="17">
        <v>0</v>
      </c>
      <c r="H87" s="16"/>
      <c r="I87" s="17"/>
      <c r="J87" s="17"/>
      <c r="K87" s="17"/>
      <c r="L87" s="17"/>
      <c r="M87" s="22"/>
      <c r="N87" s="17"/>
      <c r="O87" s="22"/>
      <c r="P87" s="19">
        <f t="shared" si="12"/>
        <v>0</v>
      </c>
    </row>
    <row r="88" ht="12" customHeight="1" spans="1:16">
      <c r="A88" s="14">
        <v>40</v>
      </c>
      <c r="B88" s="15" t="s">
        <v>55</v>
      </c>
      <c r="C88" s="18"/>
      <c r="D88" s="16">
        <v>0</v>
      </c>
      <c r="E88" s="17"/>
      <c r="F88" s="17">
        <v>0</v>
      </c>
      <c r="G88" s="17"/>
      <c r="H88" s="16"/>
      <c r="I88" s="17"/>
      <c r="J88" s="17"/>
      <c r="K88" s="17"/>
      <c r="L88" s="17"/>
      <c r="M88" s="22"/>
      <c r="N88" s="17"/>
      <c r="O88" s="22"/>
      <c r="P88" s="19"/>
    </row>
    <row r="89" ht="12" customHeight="1" spans="1:16">
      <c r="A89" s="14"/>
      <c r="B89" s="15"/>
      <c r="C89" s="18">
        <v>25</v>
      </c>
      <c r="D89" s="16"/>
      <c r="E89" s="17">
        <v>0</v>
      </c>
      <c r="F89" s="17"/>
      <c r="G89" s="17">
        <v>0</v>
      </c>
      <c r="H89" s="16"/>
      <c r="I89" s="17"/>
      <c r="J89" s="17"/>
      <c r="K89" s="17"/>
      <c r="L89" s="17"/>
      <c r="M89" s="22"/>
      <c r="N89" s="17"/>
      <c r="O89" s="22"/>
      <c r="P89" s="19">
        <f t="shared" si="12"/>
        <v>0</v>
      </c>
    </row>
    <row r="90" ht="12" customHeight="1" spans="1:16">
      <c r="A90" s="14">
        <v>41</v>
      </c>
      <c r="B90" s="15" t="s">
        <v>56</v>
      </c>
      <c r="C90" s="18"/>
      <c r="D90" s="16">
        <v>0</v>
      </c>
      <c r="E90" s="17"/>
      <c r="F90" s="17">
        <v>0</v>
      </c>
      <c r="G90" s="17"/>
      <c r="H90" s="16"/>
      <c r="I90" s="17"/>
      <c r="J90" s="17"/>
      <c r="K90" s="17"/>
      <c r="L90" s="17"/>
      <c r="M90" s="22"/>
      <c r="N90" s="17"/>
      <c r="O90" s="22"/>
      <c r="P90" s="19"/>
    </row>
    <row r="91" ht="12" customHeight="1" spans="1:16">
      <c r="A91" s="14"/>
      <c r="B91" s="15"/>
      <c r="C91" s="18">
        <v>25</v>
      </c>
      <c r="D91" s="16"/>
      <c r="E91" s="17">
        <v>0</v>
      </c>
      <c r="F91" s="17"/>
      <c r="G91" s="17">
        <v>0</v>
      </c>
      <c r="H91" s="16"/>
      <c r="I91" s="17"/>
      <c r="J91" s="17"/>
      <c r="K91" s="17"/>
      <c r="L91" s="17"/>
      <c r="M91" s="22"/>
      <c r="N91" s="17"/>
      <c r="O91" s="22"/>
      <c r="P91" s="19">
        <f t="shared" ref="P91:P95" si="13">I91+K91-M91-O91</f>
        <v>0</v>
      </c>
    </row>
    <row r="92" ht="12" customHeight="1" spans="1:16">
      <c r="A92" s="14">
        <v>42</v>
      </c>
      <c r="B92" s="15" t="s">
        <v>57</v>
      </c>
      <c r="C92" s="18"/>
      <c r="D92" s="16">
        <v>0</v>
      </c>
      <c r="E92" s="17"/>
      <c r="F92" s="17">
        <v>0</v>
      </c>
      <c r="G92" s="17"/>
      <c r="H92" s="16"/>
      <c r="I92" s="17"/>
      <c r="J92" s="17"/>
      <c r="K92" s="17"/>
      <c r="L92" s="17"/>
      <c r="M92" s="22"/>
      <c r="N92" s="17"/>
      <c r="O92" s="22"/>
      <c r="P92" s="19"/>
    </row>
    <row r="93" ht="12" customHeight="1" spans="1:16">
      <c r="A93" s="14"/>
      <c r="B93" s="15"/>
      <c r="C93" s="18">
        <v>25</v>
      </c>
      <c r="D93" s="16"/>
      <c r="E93" s="17">
        <v>0</v>
      </c>
      <c r="F93" s="17"/>
      <c r="G93" s="17">
        <v>0</v>
      </c>
      <c r="H93" s="16"/>
      <c r="I93" s="17"/>
      <c r="J93" s="17"/>
      <c r="K93" s="17"/>
      <c r="L93" s="17"/>
      <c r="M93" s="22"/>
      <c r="N93" s="17"/>
      <c r="O93" s="22"/>
      <c r="P93" s="19">
        <f t="shared" si="13"/>
        <v>0</v>
      </c>
    </row>
    <row r="94" ht="12" customHeight="1" spans="1:16">
      <c r="A94" s="14">
        <v>43</v>
      </c>
      <c r="B94" s="15" t="s">
        <v>58</v>
      </c>
      <c r="C94" s="18"/>
      <c r="D94" s="16">
        <v>0</v>
      </c>
      <c r="E94" s="17"/>
      <c r="F94" s="17">
        <v>0</v>
      </c>
      <c r="G94" s="17"/>
      <c r="H94" s="16"/>
      <c r="I94" s="17"/>
      <c r="J94" s="17"/>
      <c r="K94" s="17"/>
      <c r="L94" s="17"/>
      <c r="M94" s="22"/>
      <c r="N94" s="17"/>
      <c r="O94" s="22"/>
      <c r="P94" s="19"/>
    </row>
    <row r="95" ht="12" customHeight="1" spans="1:16">
      <c r="A95" s="14"/>
      <c r="B95" s="15"/>
      <c r="C95" s="18">
        <v>25</v>
      </c>
      <c r="D95" s="16"/>
      <c r="E95" s="17">
        <v>0</v>
      </c>
      <c r="F95" s="17"/>
      <c r="G95" s="17">
        <v>0</v>
      </c>
      <c r="H95" s="16"/>
      <c r="I95" s="17"/>
      <c r="J95" s="17"/>
      <c r="K95" s="17"/>
      <c r="L95" s="17"/>
      <c r="M95" s="22"/>
      <c r="N95" s="17"/>
      <c r="O95" s="22"/>
      <c r="P95" s="19">
        <f t="shared" si="13"/>
        <v>0</v>
      </c>
    </row>
    <row r="96" ht="12" customHeight="1" spans="1:16">
      <c r="A96" s="14">
        <v>44</v>
      </c>
      <c r="B96" s="15" t="s">
        <v>59</v>
      </c>
      <c r="C96" s="18"/>
      <c r="D96" s="16">
        <v>0</v>
      </c>
      <c r="E96" s="17"/>
      <c r="F96" s="17">
        <v>0</v>
      </c>
      <c r="G96" s="17"/>
      <c r="H96" s="16"/>
      <c r="I96" s="17"/>
      <c r="J96" s="17"/>
      <c r="K96" s="17"/>
      <c r="L96" s="17"/>
      <c r="M96" s="22"/>
      <c r="N96" s="17"/>
      <c r="O96" s="22"/>
      <c r="P96" s="19"/>
    </row>
    <row r="97" ht="12" customHeight="1" spans="1:16">
      <c r="A97" s="14"/>
      <c r="B97" s="15"/>
      <c r="C97" s="18">
        <v>25</v>
      </c>
      <c r="D97" s="16"/>
      <c r="E97" s="17">
        <v>0</v>
      </c>
      <c r="F97" s="17"/>
      <c r="G97" s="17">
        <v>0</v>
      </c>
      <c r="H97" s="16"/>
      <c r="I97" s="17"/>
      <c r="J97" s="17"/>
      <c r="K97" s="17"/>
      <c r="L97" s="17"/>
      <c r="M97" s="22"/>
      <c r="N97" s="17"/>
      <c r="O97" s="22"/>
      <c r="P97" s="19">
        <f t="shared" ref="P97:P101" si="14">I97+K97-M97-O97</f>
        <v>0</v>
      </c>
    </row>
    <row r="98" ht="12" customHeight="1" spans="1:16">
      <c r="A98" s="14">
        <v>45</v>
      </c>
      <c r="B98" s="15" t="s">
        <v>60</v>
      </c>
      <c r="C98" s="18"/>
      <c r="D98" s="16">
        <v>0</v>
      </c>
      <c r="E98" s="17"/>
      <c r="F98" s="17">
        <v>0</v>
      </c>
      <c r="G98" s="17"/>
      <c r="H98" s="16"/>
      <c r="I98" s="17"/>
      <c r="J98" s="17"/>
      <c r="K98" s="17"/>
      <c r="L98" s="17"/>
      <c r="M98" s="22"/>
      <c r="N98" s="17"/>
      <c r="O98" s="22"/>
      <c r="P98" s="19"/>
    </row>
    <row r="99" ht="12" customHeight="1" spans="1:16">
      <c r="A99" s="14"/>
      <c r="B99" s="15"/>
      <c r="C99" s="18">
        <v>25</v>
      </c>
      <c r="D99" s="16"/>
      <c r="E99" s="17">
        <v>0</v>
      </c>
      <c r="F99" s="17"/>
      <c r="G99" s="17">
        <v>0</v>
      </c>
      <c r="H99" s="16"/>
      <c r="I99" s="17"/>
      <c r="J99" s="17"/>
      <c r="K99" s="17"/>
      <c r="L99" s="17"/>
      <c r="M99" s="22"/>
      <c r="N99" s="17"/>
      <c r="O99" s="22"/>
      <c r="P99" s="19">
        <f t="shared" si="14"/>
        <v>0</v>
      </c>
    </row>
    <row r="100" ht="12" customHeight="1" spans="1:16">
      <c r="A100" s="14">
        <v>46</v>
      </c>
      <c r="B100" s="15" t="s">
        <v>61</v>
      </c>
      <c r="C100" s="18"/>
      <c r="D100" s="16">
        <v>0</v>
      </c>
      <c r="E100" s="17"/>
      <c r="F100" s="17">
        <v>0</v>
      </c>
      <c r="G100" s="17"/>
      <c r="H100" s="16"/>
      <c r="I100" s="17"/>
      <c r="J100" s="17"/>
      <c r="K100" s="17"/>
      <c r="L100" s="17"/>
      <c r="M100" s="22"/>
      <c r="N100" s="17"/>
      <c r="O100" s="22"/>
      <c r="P100" s="19"/>
    </row>
    <row r="101" ht="12" customHeight="1" spans="1:16">
      <c r="A101" s="14"/>
      <c r="B101" s="15"/>
      <c r="C101" s="18">
        <v>25</v>
      </c>
      <c r="D101" s="16"/>
      <c r="E101" s="17">
        <v>0</v>
      </c>
      <c r="F101" s="17"/>
      <c r="G101" s="17">
        <v>0</v>
      </c>
      <c r="H101" s="16"/>
      <c r="I101" s="17"/>
      <c r="J101" s="17"/>
      <c r="K101" s="17"/>
      <c r="L101" s="17"/>
      <c r="M101" s="22"/>
      <c r="N101" s="17"/>
      <c r="O101" s="22"/>
      <c r="P101" s="19">
        <f t="shared" si="14"/>
        <v>0</v>
      </c>
    </row>
    <row r="102" ht="12" customHeight="1" spans="1:16">
      <c r="A102" s="14">
        <v>47</v>
      </c>
      <c r="B102" s="15" t="s">
        <v>62</v>
      </c>
      <c r="C102" s="18"/>
      <c r="D102" s="16">
        <v>0</v>
      </c>
      <c r="E102" s="17"/>
      <c r="F102" s="17">
        <v>0</v>
      </c>
      <c r="G102" s="17"/>
      <c r="H102" s="16"/>
      <c r="I102" s="17"/>
      <c r="J102" s="17"/>
      <c r="K102" s="17"/>
      <c r="L102" s="17"/>
      <c r="M102" s="22"/>
      <c r="N102" s="17"/>
      <c r="O102" s="22"/>
      <c r="P102" s="19"/>
    </row>
    <row r="103" ht="12" customHeight="1" spans="1:16">
      <c r="A103" s="14"/>
      <c r="B103" s="15"/>
      <c r="C103" s="18">
        <v>25</v>
      </c>
      <c r="D103" s="16"/>
      <c r="E103" s="17">
        <v>0</v>
      </c>
      <c r="F103" s="17"/>
      <c r="G103" s="17">
        <v>0</v>
      </c>
      <c r="H103" s="16"/>
      <c r="I103" s="17"/>
      <c r="J103" s="17"/>
      <c r="K103" s="17"/>
      <c r="L103" s="17"/>
      <c r="M103" s="22"/>
      <c r="N103" s="17"/>
      <c r="O103" s="22"/>
      <c r="P103" s="19">
        <f t="shared" ref="P103:P107" si="15">I103+K103-M103-O103</f>
        <v>0</v>
      </c>
    </row>
    <row r="104" ht="12" customHeight="1" spans="1:16">
      <c r="A104" s="14">
        <v>48</v>
      </c>
      <c r="B104" s="15" t="s">
        <v>63</v>
      </c>
      <c r="C104" s="18"/>
      <c r="D104" s="16">
        <v>0</v>
      </c>
      <c r="E104" s="17"/>
      <c r="F104" s="17">
        <v>0</v>
      </c>
      <c r="G104" s="17"/>
      <c r="H104" s="16"/>
      <c r="I104" s="17"/>
      <c r="J104" s="17"/>
      <c r="K104" s="17"/>
      <c r="L104" s="17"/>
      <c r="M104" s="22"/>
      <c r="N104" s="17"/>
      <c r="O104" s="22"/>
      <c r="P104" s="19"/>
    </row>
    <row r="105" ht="12" customHeight="1" spans="1:16">
      <c r="A105" s="14"/>
      <c r="B105" s="15"/>
      <c r="C105" s="18">
        <v>25</v>
      </c>
      <c r="D105" s="16"/>
      <c r="E105" s="17">
        <v>0</v>
      </c>
      <c r="F105" s="17"/>
      <c r="G105" s="17">
        <v>0</v>
      </c>
      <c r="H105" s="16"/>
      <c r="I105" s="17"/>
      <c r="J105" s="17"/>
      <c r="K105" s="17"/>
      <c r="L105" s="17"/>
      <c r="M105" s="22"/>
      <c r="N105" s="17"/>
      <c r="O105" s="22"/>
      <c r="P105" s="19">
        <f t="shared" si="15"/>
        <v>0</v>
      </c>
    </row>
    <row r="106" ht="12" customHeight="1" spans="1:16">
      <c r="A106" s="14">
        <v>49</v>
      </c>
      <c r="B106" s="15" t="s">
        <v>64</v>
      </c>
      <c r="C106" s="18"/>
      <c r="D106" s="16">
        <v>0</v>
      </c>
      <c r="E106" s="17"/>
      <c r="F106" s="17">
        <v>0</v>
      </c>
      <c r="G106" s="17"/>
      <c r="H106" s="16"/>
      <c r="I106" s="17"/>
      <c r="J106" s="17"/>
      <c r="K106" s="17"/>
      <c r="L106" s="17"/>
      <c r="M106" s="22"/>
      <c r="N106" s="17"/>
      <c r="O106" s="22"/>
      <c r="P106" s="19"/>
    </row>
    <row r="107" ht="12" customHeight="1" spans="1:16">
      <c r="A107" s="14"/>
      <c r="B107" s="15"/>
      <c r="C107" s="18">
        <v>25</v>
      </c>
      <c r="D107" s="16"/>
      <c r="E107" s="17">
        <v>0</v>
      </c>
      <c r="F107" s="17"/>
      <c r="G107" s="17">
        <v>0</v>
      </c>
      <c r="H107" s="16"/>
      <c r="I107" s="17"/>
      <c r="J107" s="17"/>
      <c r="K107" s="17"/>
      <c r="L107" s="17"/>
      <c r="M107" s="22"/>
      <c r="N107" s="17"/>
      <c r="O107" s="22"/>
      <c r="P107" s="19">
        <f t="shared" si="15"/>
        <v>0</v>
      </c>
    </row>
    <row r="108" ht="12" customHeight="1" spans="1:16">
      <c r="A108" s="14">
        <v>50</v>
      </c>
      <c r="B108" s="15" t="s">
        <v>65</v>
      </c>
      <c r="C108" s="18"/>
      <c r="D108" s="16">
        <v>0</v>
      </c>
      <c r="E108" s="17"/>
      <c r="F108" s="17">
        <v>0</v>
      </c>
      <c r="G108" s="17"/>
      <c r="H108" s="16"/>
      <c r="I108" s="17"/>
      <c r="J108" s="17"/>
      <c r="K108" s="17"/>
      <c r="L108" s="17"/>
      <c r="M108" s="22"/>
      <c r="N108" s="17"/>
      <c r="O108" s="22"/>
      <c r="P108" s="19"/>
    </row>
    <row r="109" ht="12" customHeight="1" spans="1:16">
      <c r="A109" s="14"/>
      <c r="B109" s="15"/>
      <c r="C109" s="18">
        <v>25</v>
      </c>
      <c r="D109" s="16"/>
      <c r="E109" s="17">
        <v>0</v>
      </c>
      <c r="F109" s="17"/>
      <c r="G109" s="17">
        <v>0</v>
      </c>
      <c r="H109" s="16"/>
      <c r="I109" s="17"/>
      <c r="J109" s="17"/>
      <c r="K109" s="17"/>
      <c r="L109" s="17"/>
      <c r="M109" s="22"/>
      <c r="N109" s="17"/>
      <c r="O109" s="22"/>
      <c r="P109" s="19">
        <f t="shared" ref="P109:P113" si="16">I109+K109-M109-O109</f>
        <v>0</v>
      </c>
    </row>
    <row r="110" ht="12" customHeight="1" spans="1:16">
      <c r="A110" s="14">
        <v>51</v>
      </c>
      <c r="B110" s="15" t="s">
        <v>66</v>
      </c>
      <c r="C110" s="18"/>
      <c r="D110" s="16">
        <v>0</v>
      </c>
      <c r="E110" s="17"/>
      <c r="F110" s="17">
        <v>0</v>
      </c>
      <c r="G110" s="17"/>
      <c r="H110" s="16"/>
      <c r="I110" s="17"/>
      <c r="J110" s="17"/>
      <c r="K110" s="17"/>
      <c r="L110" s="17"/>
      <c r="M110" s="22"/>
      <c r="N110" s="17"/>
      <c r="O110" s="22"/>
      <c r="P110" s="19"/>
    </row>
    <row r="111" ht="12" customHeight="1" spans="1:16">
      <c r="A111" s="14"/>
      <c r="B111" s="15"/>
      <c r="C111" s="18">
        <v>25</v>
      </c>
      <c r="D111" s="16"/>
      <c r="E111" s="17">
        <v>0</v>
      </c>
      <c r="F111" s="17"/>
      <c r="G111" s="17">
        <v>0</v>
      </c>
      <c r="H111" s="16"/>
      <c r="I111" s="17"/>
      <c r="J111" s="17"/>
      <c r="K111" s="17"/>
      <c r="L111" s="17"/>
      <c r="M111" s="22"/>
      <c r="N111" s="17"/>
      <c r="O111" s="22"/>
      <c r="P111" s="19">
        <f t="shared" si="16"/>
        <v>0</v>
      </c>
    </row>
    <row r="112" ht="12" customHeight="1" spans="1:16">
      <c r="A112" s="14">
        <v>52</v>
      </c>
      <c r="B112" s="15" t="s">
        <v>67</v>
      </c>
      <c r="C112" s="18"/>
      <c r="D112" s="16">
        <v>0</v>
      </c>
      <c r="E112" s="17"/>
      <c r="F112" s="17">
        <v>0</v>
      </c>
      <c r="G112" s="17"/>
      <c r="H112" s="16"/>
      <c r="I112" s="17"/>
      <c r="J112" s="17"/>
      <c r="K112" s="17"/>
      <c r="L112" s="17"/>
      <c r="M112" s="22"/>
      <c r="N112" s="17"/>
      <c r="O112" s="22"/>
      <c r="P112" s="19"/>
    </row>
    <row r="113" ht="12" customHeight="1" spans="1:16">
      <c r="A113" s="14"/>
      <c r="B113" s="15"/>
      <c r="C113" s="18">
        <v>25</v>
      </c>
      <c r="D113" s="16"/>
      <c r="E113" s="17">
        <v>0</v>
      </c>
      <c r="F113" s="17"/>
      <c r="G113" s="17">
        <v>0</v>
      </c>
      <c r="H113" s="16"/>
      <c r="I113" s="17"/>
      <c r="J113" s="17"/>
      <c r="K113" s="17"/>
      <c r="L113" s="17"/>
      <c r="M113" s="22"/>
      <c r="N113" s="17"/>
      <c r="O113" s="22"/>
      <c r="P113" s="19">
        <f t="shared" si="16"/>
        <v>0</v>
      </c>
    </row>
    <row r="114" ht="12" customHeight="1" spans="1:16">
      <c r="A114" s="14">
        <v>53</v>
      </c>
      <c r="B114" s="15" t="s">
        <v>68</v>
      </c>
      <c r="C114" s="18"/>
      <c r="D114" s="16">
        <v>0</v>
      </c>
      <c r="E114" s="17"/>
      <c r="F114" s="17">
        <v>0</v>
      </c>
      <c r="G114" s="17"/>
      <c r="H114" s="16"/>
      <c r="I114" s="17"/>
      <c r="J114" s="17"/>
      <c r="K114" s="17"/>
      <c r="L114" s="17"/>
      <c r="M114" s="22"/>
      <c r="N114" s="17"/>
      <c r="O114" s="22"/>
      <c r="P114" s="19"/>
    </row>
    <row r="115" ht="12" customHeight="1" spans="1:16">
      <c r="A115" s="14"/>
      <c r="B115" s="15"/>
      <c r="C115" s="18">
        <v>25</v>
      </c>
      <c r="D115" s="16"/>
      <c r="E115" s="17">
        <v>0</v>
      </c>
      <c r="F115" s="17"/>
      <c r="G115" s="17">
        <v>0</v>
      </c>
      <c r="H115" s="16"/>
      <c r="I115" s="17"/>
      <c r="J115" s="17"/>
      <c r="K115" s="17"/>
      <c r="L115" s="17"/>
      <c r="M115" s="22"/>
      <c r="N115" s="17"/>
      <c r="O115" s="22"/>
      <c r="P115" s="19">
        <f t="shared" ref="P115:P119" si="17">I115+K115-M115-O115</f>
        <v>0</v>
      </c>
    </row>
    <row r="116" ht="12" customHeight="1" spans="1:16">
      <c r="A116" s="14">
        <v>54</v>
      </c>
      <c r="B116" s="15" t="s">
        <v>69</v>
      </c>
      <c r="C116" s="18"/>
      <c r="D116" s="16">
        <v>0</v>
      </c>
      <c r="E116" s="17"/>
      <c r="F116" s="17">
        <v>0</v>
      </c>
      <c r="G116" s="17"/>
      <c r="H116" s="16"/>
      <c r="I116" s="17"/>
      <c r="J116" s="17"/>
      <c r="K116" s="17"/>
      <c r="L116" s="17"/>
      <c r="M116" s="22"/>
      <c r="N116" s="17"/>
      <c r="O116" s="22"/>
      <c r="P116" s="19"/>
    </row>
    <row r="117" ht="12" customHeight="1" spans="1:16">
      <c r="A117" s="14"/>
      <c r="B117" s="15"/>
      <c r="C117" s="18">
        <v>25</v>
      </c>
      <c r="D117" s="16"/>
      <c r="E117" s="17">
        <v>0</v>
      </c>
      <c r="F117" s="17"/>
      <c r="G117" s="17">
        <v>0</v>
      </c>
      <c r="H117" s="16"/>
      <c r="I117" s="17"/>
      <c r="J117" s="17"/>
      <c r="K117" s="17"/>
      <c r="L117" s="17"/>
      <c r="M117" s="22"/>
      <c r="N117" s="17"/>
      <c r="O117" s="22"/>
      <c r="P117" s="19">
        <f t="shared" si="17"/>
        <v>0</v>
      </c>
    </row>
    <row r="118" ht="12" customHeight="1" spans="1:16">
      <c r="A118" s="14">
        <v>55</v>
      </c>
      <c r="B118" s="15" t="s">
        <v>70</v>
      </c>
      <c r="C118" s="18"/>
      <c r="D118" s="16">
        <v>0</v>
      </c>
      <c r="E118" s="17"/>
      <c r="F118" s="17">
        <v>0</v>
      </c>
      <c r="G118" s="17"/>
      <c r="H118" s="16"/>
      <c r="I118" s="17"/>
      <c r="J118" s="17"/>
      <c r="K118" s="17"/>
      <c r="L118" s="17"/>
      <c r="M118" s="22"/>
      <c r="N118" s="17"/>
      <c r="O118" s="22"/>
      <c r="P118" s="19"/>
    </row>
    <row r="119" ht="12" customHeight="1" spans="1:16">
      <c r="A119" s="14"/>
      <c r="B119" s="15"/>
      <c r="C119" s="18">
        <v>25</v>
      </c>
      <c r="D119" s="16"/>
      <c r="E119" s="17">
        <v>0</v>
      </c>
      <c r="F119" s="17"/>
      <c r="G119" s="17">
        <v>0</v>
      </c>
      <c r="H119" s="16"/>
      <c r="I119" s="17"/>
      <c r="J119" s="17"/>
      <c r="K119" s="17"/>
      <c r="L119" s="17"/>
      <c r="M119" s="22"/>
      <c r="N119" s="17"/>
      <c r="O119" s="22"/>
      <c r="P119" s="19">
        <f t="shared" si="17"/>
        <v>0</v>
      </c>
    </row>
    <row r="120" ht="12" customHeight="1" spans="1:16">
      <c r="A120" s="14">
        <v>56</v>
      </c>
      <c r="B120" s="15" t="s">
        <v>71</v>
      </c>
      <c r="C120" s="18"/>
      <c r="D120" s="16">
        <v>0</v>
      </c>
      <c r="E120" s="17"/>
      <c r="F120" s="17">
        <v>0</v>
      </c>
      <c r="G120" s="17"/>
      <c r="H120" s="16"/>
      <c r="I120" s="17"/>
      <c r="J120" s="17"/>
      <c r="K120" s="17"/>
      <c r="L120" s="17"/>
      <c r="M120" s="22"/>
      <c r="N120" s="17"/>
      <c r="O120" s="22"/>
      <c r="P120" s="19"/>
    </row>
    <row r="121" ht="12" customHeight="1" spans="1:16">
      <c r="A121" s="14"/>
      <c r="B121" s="15"/>
      <c r="C121" s="18">
        <v>25</v>
      </c>
      <c r="D121" s="16"/>
      <c r="E121" s="17">
        <v>0</v>
      </c>
      <c r="F121" s="17"/>
      <c r="G121" s="17">
        <v>0</v>
      </c>
      <c r="H121" s="16"/>
      <c r="I121" s="17"/>
      <c r="J121" s="17"/>
      <c r="K121" s="17"/>
      <c r="L121" s="17"/>
      <c r="M121" s="22"/>
      <c r="N121" s="17"/>
      <c r="O121" s="22"/>
      <c r="P121" s="19">
        <f t="shared" ref="P121:P125" si="18">I121+K121-M121-O121</f>
        <v>0</v>
      </c>
    </row>
    <row r="122" ht="12" customHeight="1" spans="1:16">
      <c r="A122" s="14">
        <v>57</v>
      </c>
      <c r="B122" s="15" t="s">
        <v>72</v>
      </c>
      <c r="C122" s="18"/>
      <c r="D122" s="16">
        <v>0</v>
      </c>
      <c r="E122" s="17"/>
      <c r="F122" s="17">
        <v>0</v>
      </c>
      <c r="G122" s="17"/>
      <c r="H122" s="16"/>
      <c r="I122" s="17"/>
      <c r="J122" s="17"/>
      <c r="K122" s="17"/>
      <c r="L122" s="17"/>
      <c r="M122" s="22"/>
      <c r="N122" s="17"/>
      <c r="O122" s="22"/>
      <c r="P122" s="19"/>
    </row>
    <row r="123" ht="12" customHeight="1" spans="1:16">
      <c r="A123" s="14"/>
      <c r="B123" s="15"/>
      <c r="C123" s="18">
        <v>25</v>
      </c>
      <c r="D123" s="16"/>
      <c r="E123" s="17">
        <v>0</v>
      </c>
      <c r="F123" s="17"/>
      <c r="G123" s="17">
        <v>0</v>
      </c>
      <c r="H123" s="16"/>
      <c r="I123" s="17"/>
      <c r="J123" s="17"/>
      <c r="K123" s="17"/>
      <c r="L123" s="17"/>
      <c r="M123" s="22"/>
      <c r="N123" s="17"/>
      <c r="O123" s="22"/>
      <c r="P123" s="19">
        <f t="shared" si="18"/>
        <v>0</v>
      </c>
    </row>
    <row r="124" ht="12" customHeight="1" spans="1:16">
      <c r="A124" s="14">
        <v>58</v>
      </c>
      <c r="B124" s="15" t="s">
        <v>73</v>
      </c>
      <c r="C124" s="18"/>
      <c r="D124" s="16">
        <v>0</v>
      </c>
      <c r="E124" s="17"/>
      <c r="F124" s="17">
        <v>0</v>
      </c>
      <c r="G124" s="17"/>
      <c r="H124" s="16"/>
      <c r="I124" s="17"/>
      <c r="J124" s="17"/>
      <c r="K124" s="17"/>
      <c r="L124" s="17"/>
      <c r="M124" s="22"/>
      <c r="N124" s="17"/>
      <c r="O124" s="22"/>
      <c r="P124" s="19"/>
    </row>
    <row r="125" ht="12" customHeight="1" spans="1:16">
      <c r="A125" s="14"/>
      <c r="B125" s="15"/>
      <c r="C125" s="18">
        <v>25</v>
      </c>
      <c r="D125" s="16"/>
      <c r="E125" s="17">
        <v>0</v>
      </c>
      <c r="F125" s="17"/>
      <c r="G125" s="17">
        <v>0</v>
      </c>
      <c r="H125" s="16"/>
      <c r="I125" s="17"/>
      <c r="J125" s="17"/>
      <c r="K125" s="17"/>
      <c r="L125" s="17"/>
      <c r="M125" s="22"/>
      <c r="N125" s="17"/>
      <c r="O125" s="22"/>
      <c r="P125" s="19">
        <f t="shared" si="18"/>
        <v>0</v>
      </c>
    </row>
    <row r="126" ht="12" customHeight="1" spans="1:16">
      <c r="A126" s="14">
        <v>59</v>
      </c>
      <c r="B126" s="15" t="s">
        <v>74</v>
      </c>
      <c r="C126" s="18"/>
      <c r="D126" s="16">
        <v>0</v>
      </c>
      <c r="E126" s="17"/>
      <c r="F126" s="17">
        <v>0</v>
      </c>
      <c r="G126" s="17"/>
      <c r="H126" s="16"/>
      <c r="I126" s="17"/>
      <c r="J126" s="17"/>
      <c r="K126" s="17"/>
      <c r="L126" s="17"/>
      <c r="M126" s="22"/>
      <c r="N126" s="17"/>
      <c r="O126" s="22"/>
      <c r="P126" s="19"/>
    </row>
    <row r="127" ht="12" customHeight="1" spans="1:16">
      <c r="A127" s="14"/>
      <c r="B127" s="15"/>
      <c r="C127" s="18">
        <v>25</v>
      </c>
      <c r="D127" s="16"/>
      <c r="E127" s="17">
        <v>0</v>
      </c>
      <c r="F127" s="17"/>
      <c r="G127" s="17">
        <v>0</v>
      </c>
      <c r="H127" s="16"/>
      <c r="I127" s="17"/>
      <c r="J127" s="17"/>
      <c r="K127" s="17"/>
      <c r="L127" s="17"/>
      <c r="M127" s="22"/>
      <c r="N127" s="17"/>
      <c r="O127" s="22"/>
      <c r="P127" s="19">
        <f t="shared" ref="P127:P131" si="19">I127+K127-M127-O127</f>
        <v>0</v>
      </c>
    </row>
    <row r="128" ht="12" customHeight="1" spans="1:16">
      <c r="A128" s="14">
        <v>60</v>
      </c>
      <c r="B128" s="15" t="s">
        <v>75</v>
      </c>
      <c r="C128" s="18"/>
      <c r="D128" s="16">
        <v>0</v>
      </c>
      <c r="E128" s="17"/>
      <c r="F128" s="17">
        <v>0</v>
      </c>
      <c r="G128" s="17"/>
      <c r="H128" s="16"/>
      <c r="I128" s="17"/>
      <c r="J128" s="17"/>
      <c r="K128" s="17"/>
      <c r="L128" s="17"/>
      <c r="M128" s="22"/>
      <c r="N128" s="17"/>
      <c r="O128" s="22"/>
      <c r="P128" s="19"/>
    </row>
    <row r="129" ht="12" customHeight="1" spans="1:16">
      <c r="A129" s="14"/>
      <c r="B129" s="15"/>
      <c r="C129" s="18">
        <v>25</v>
      </c>
      <c r="D129" s="16"/>
      <c r="E129" s="17">
        <v>0</v>
      </c>
      <c r="F129" s="17"/>
      <c r="G129" s="17">
        <v>0</v>
      </c>
      <c r="H129" s="16"/>
      <c r="I129" s="17"/>
      <c r="J129" s="17"/>
      <c r="K129" s="17"/>
      <c r="L129" s="17"/>
      <c r="M129" s="22"/>
      <c r="N129" s="17"/>
      <c r="O129" s="22"/>
      <c r="P129" s="19">
        <f t="shared" si="19"/>
        <v>0</v>
      </c>
    </row>
    <row r="130" ht="12" customHeight="1" spans="1:16">
      <c r="A130" s="14">
        <v>61</v>
      </c>
      <c r="B130" s="15" t="s">
        <v>76</v>
      </c>
      <c r="C130" s="18"/>
      <c r="D130" s="16">
        <v>0</v>
      </c>
      <c r="E130" s="17"/>
      <c r="F130" s="17">
        <v>0</v>
      </c>
      <c r="G130" s="17"/>
      <c r="H130" s="16"/>
      <c r="I130" s="17"/>
      <c r="J130" s="17"/>
      <c r="K130" s="17"/>
      <c r="L130" s="17"/>
      <c r="M130" s="22"/>
      <c r="N130" s="17"/>
      <c r="O130" s="22"/>
      <c r="P130" s="19"/>
    </row>
    <row r="131" ht="12" customHeight="1" spans="1:16">
      <c r="A131" s="14"/>
      <c r="B131" s="15"/>
      <c r="C131" s="18">
        <v>25</v>
      </c>
      <c r="D131" s="16"/>
      <c r="E131" s="17">
        <v>0</v>
      </c>
      <c r="F131" s="17"/>
      <c r="G131" s="17">
        <v>0</v>
      </c>
      <c r="H131" s="16"/>
      <c r="I131" s="17"/>
      <c r="J131" s="17"/>
      <c r="K131" s="17"/>
      <c r="L131" s="17"/>
      <c r="M131" s="22"/>
      <c r="N131" s="17"/>
      <c r="O131" s="22"/>
      <c r="P131" s="19">
        <f t="shared" si="19"/>
        <v>0</v>
      </c>
    </row>
    <row r="132" ht="12" customHeight="1" spans="1:16">
      <c r="A132" s="14">
        <v>62</v>
      </c>
      <c r="B132" s="15" t="s">
        <v>77</v>
      </c>
      <c r="C132" s="18"/>
      <c r="D132" s="16">
        <v>0</v>
      </c>
      <c r="E132" s="17"/>
      <c r="F132" s="17">
        <v>0</v>
      </c>
      <c r="G132" s="17"/>
      <c r="H132" s="16"/>
      <c r="I132" s="17"/>
      <c r="J132" s="17"/>
      <c r="K132" s="17"/>
      <c r="L132" s="17"/>
      <c r="M132" s="22"/>
      <c r="N132" s="17"/>
      <c r="O132" s="22"/>
      <c r="P132" s="19"/>
    </row>
    <row r="133" ht="12" customHeight="1" spans="1:16">
      <c r="A133" s="14"/>
      <c r="B133" s="15"/>
      <c r="C133" s="18">
        <v>25</v>
      </c>
      <c r="D133" s="16"/>
      <c r="E133" s="17">
        <v>0</v>
      </c>
      <c r="F133" s="17"/>
      <c r="G133" s="17">
        <v>0</v>
      </c>
      <c r="H133" s="16"/>
      <c r="I133" s="17"/>
      <c r="J133" s="17"/>
      <c r="K133" s="17"/>
      <c r="L133" s="17"/>
      <c r="M133" s="22"/>
      <c r="N133" s="17"/>
      <c r="O133" s="22"/>
      <c r="P133" s="19">
        <f t="shared" ref="P133:P137" si="20">I133+K133-M133-O133</f>
        <v>0</v>
      </c>
    </row>
    <row r="134" ht="12" customHeight="1" spans="1:16">
      <c r="A134" s="14">
        <v>63</v>
      </c>
      <c r="B134" s="15" t="s">
        <v>78</v>
      </c>
      <c r="C134" s="18"/>
      <c r="D134" s="16">
        <v>0</v>
      </c>
      <c r="E134" s="17"/>
      <c r="F134" s="17">
        <v>0</v>
      </c>
      <c r="G134" s="17"/>
      <c r="H134" s="16"/>
      <c r="I134" s="17"/>
      <c r="J134" s="17"/>
      <c r="K134" s="17"/>
      <c r="L134" s="17"/>
      <c r="M134" s="22"/>
      <c r="N134" s="17"/>
      <c r="O134" s="22"/>
      <c r="P134" s="19"/>
    </row>
    <row r="135" ht="12" customHeight="1" spans="1:16">
      <c r="A135" s="14"/>
      <c r="B135" s="15"/>
      <c r="C135" s="18">
        <v>25</v>
      </c>
      <c r="D135" s="16"/>
      <c r="E135" s="17">
        <v>0</v>
      </c>
      <c r="F135" s="17"/>
      <c r="G135" s="17">
        <v>0</v>
      </c>
      <c r="H135" s="16"/>
      <c r="I135" s="17"/>
      <c r="J135" s="17"/>
      <c r="K135" s="17"/>
      <c r="L135" s="17"/>
      <c r="M135" s="22"/>
      <c r="N135" s="17"/>
      <c r="O135" s="22"/>
      <c r="P135" s="19">
        <f t="shared" si="20"/>
        <v>0</v>
      </c>
    </row>
    <row r="136" ht="12" customHeight="1" spans="1:16">
      <c r="A136" s="14">
        <v>64</v>
      </c>
      <c r="B136" s="15" t="s">
        <v>79</v>
      </c>
      <c r="C136" s="18"/>
      <c r="D136" s="16">
        <v>0</v>
      </c>
      <c r="E136" s="17"/>
      <c r="F136" s="17">
        <v>0</v>
      </c>
      <c r="G136" s="17"/>
      <c r="H136" s="16"/>
      <c r="I136" s="17"/>
      <c r="J136" s="17"/>
      <c r="K136" s="17"/>
      <c r="L136" s="17"/>
      <c r="M136" s="22"/>
      <c r="N136" s="17"/>
      <c r="O136" s="22"/>
      <c r="P136" s="19"/>
    </row>
    <row r="137" ht="12" customHeight="1" spans="1:16">
      <c r="A137" s="14"/>
      <c r="B137" s="15"/>
      <c r="C137" s="18">
        <v>25</v>
      </c>
      <c r="D137" s="16"/>
      <c r="E137" s="17">
        <v>0</v>
      </c>
      <c r="F137" s="17"/>
      <c r="G137" s="17">
        <v>0</v>
      </c>
      <c r="H137" s="16"/>
      <c r="I137" s="17"/>
      <c r="J137" s="17"/>
      <c r="K137" s="17"/>
      <c r="L137" s="17"/>
      <c r="M137" s="22"/>
      <c r="N137" s="17"/>
      <c r="O137" s="22"/>
      <c r="P137" s="19">
        <f t="shared" si="20"/>
        <v>0</v>
      </c>
    </row>
    <row r="138" ht="12" customHeight="1" spans="1:16">
      <c r="A138" s="14">
        <v>65</v>
      </c>
      <c r="B138" s="15" t="s">
        <v>80</v>
      </c>
      <c r="C138" s="18"/>
      <c r="D138" s="16">
        <v>0</v>
      </c>
      <c r="E138" s="17"/>
      <c r="F138" s="17">
        <v>0</v>
      </c>
      <c r="G138" s="17"/>
      <c r="H138" s="16"/>
      <c r="I138" s="17"/>
      <c r="J138" s="17"/>
      <c r="K138" s="17"/>
      <c r="L138" s="17"/>
      <c r="M138" s="22"/>
      <c r="N138" s="17"/>
      <c r="O138" s="22"/>
      <c r="P138" s="19"/>
    </row>
    <row r="139" ht="12" customHeight="1" spans="1:16">
      <c r="A139" s="14"/>
      <c r="B139" s="15"/>
      <c r="C139" s="18">
        <v>25</v>
      </c>
      <c r="D139" s="16"/>
      <c r="E139" s="17">
        <v>0</v>
      </c>
      <c r="F139" s="17"/>
      <c r="G139" s="17">
        <v>0</v>
      </c>
      <c r="H139" s="16"/>
      <c r="I139" s="17"/>
      <c r="J139" s="17"/>
      <c r="K139" s="17"/>
      <c r="L139" s="17"/>
      <c r="M139" s="22"/>
      <c r="N139" s="17"/>
      <c r="O139" s="22"/>
      <c r="P139" s="19">
        <f t="shared" ref="P139:P143" si="21">I139+K139-M139-O139</f>
        <v>0</v>
      </c>
    </row>
    <row r="140" ht="12" customHeight="1" spans="1:16">
      <c r="A140" s="14">
        <v>66</v>
      </c>
      <c r="B140" s="15" t="s">
        <v>81</v>
      </c>
      <c r="C140" s="18"/>
      <c r="D140" s="16">
        <v>0</v>
      </c>
      <c r="E140" s="17"/>
      <c r="F140" s="17">
        <v>0</v>
      </c>
      <c r="G140" s="17"/>
      <c r="H140" s="16"/>
      <c r="I140" s="17"/>
      <c r="J140" s="17"/>
      <c r="K140" s="17"/>
      <c r="L140" s="17"/>
      <c r="M140" s="22"/>
      <c r="N140" s="17"/>
      <c r="O140" s="22"/>
      <c r="P140" s="19"/>
    </row>
    <row r="141" ht="12" customHeight="1" spans="1:16">
      <c r="A141" s="14"/>
      <c r="B141" s="15"/>
      <c r="C141" s="18">
        <v>25</v>
      </c>
      <c r="D141" s="16"/>
      <c r="E141" s="17">
        <v>0</v>
      </c>
      <c r="F141" s="17"/>
      <c r="G141" s="17">
        <v>0</v>
      </c>
      <c r="H141" s="16"/>
      <c r="I141" s="17"/>
      <c r="J141" s="17"/>
      <c r="K141" s="17"/>
      <c r="L141" s="17"/>
      <c r="M141" s="22"/>
      <c r="N141" s="17"/>
      <c r="O141" s="22"/>
      <c r="P141" s="19">
        <f t="shared" si="21"/>
        <v>0</v>
      </c>
    </row>
    <row r="142" ht="12" customHeight="1" spans="1:16">
      <c r="A142" s="14">
        <v>67</v>
      </c>
      <c r="B142" s="15" t="s">
        <v>82</v>
      </c>
      <c r="C142" s="18"/>
      <c r="D142" s="16">
        <v>0</v>
      </c>
      <c r="E142" s="17"/>
      <c r="F142" s="17">
        <v>0</v>
      </c>
      <c r="G142" s="17"/>
      <c r="H142" s="16"/>
      <c r="I142" s="17"/>
      <c r="J142" s="17"/>
      <c r="K142" s="17"/>
      <c r="L142" s="17"/>
      <c r="M142" s="22"/>
      <c r="N142" s="17"/>
      <c r="O142" s="22"/>
      <c r="P142" s="19"/>
    </row>
    <row r="143" ht="12" customHeight="1" spans="1:16">
      <c r="A143" s="14"/>
      <c r="B143" s="15"/>
      <c r="C143" s="18">
        <v>25</v>
      </c>
      <c r="D143" s="16"/>
      <c r="E143" s="17">
        <v>0</v>
      </c>
      <c r="F143" s="17"/>
      <c r="G143" s="17">
        <v>0</v>
      </c>
      <c r="H143" s="16"/>
      <c r="I143" s="17"/>
      <c r="J143" s="17"/>
      <c r="K143" s="17"/>
      <c r="L143" s="17"/>
      <c r="M143" s="22"/>
      <c r="N143" s="17"/>
      <c r="O143" s="22"/>
      <c r="P143" s="19">
        <f t="shared" si="21"/>
        <v>0</v>
      </c>
    </row>
    <row r="144" ht="12" customHeight="1" spans="1:16">
      <c r="A144" s="14">
        <v>68</v>
      </c>
      <c r="B144" s="15" t="s">
        <v>83</v>
      </c>
      <c r="C144" s="18"/>
      <c r="D144" s="16">
        <v>0</v>
      </c>
      <c r="E144" s="17"/>
      <c r="F144" s="17">
        <v>0</v>
      </c>
      <c r="G144" s="17"/>
      <c r="H144" s="16"/>
      <c r="I144" s="17"/>
      <c r="J144" s="17"/>
      <c r="K144" s="17"/>
      <c r="L144" s="17"/>
      <c r="M144" s="22"/>
      <c r="N144" s="17"/>
      <c r="O144" s="22"/>
      <c r="P144" s="19"/>
    </row>
    <row r="145" ht="12" customHeight="1" spans="1:16">
      <c r="A145" s="14"/>
      <c r="B145" s="15"/>
      <c r="C145" s="18">
        <v>25</v>
      </c>
      <c r="D145" s="16"/>
      <c r="E145" s="17">
        <v>0</v>
      </c>
      <c r="F145" s="17"/>
      <c r="G145" s="17">
        <v>0</v>
      </c>
      <c r="H145" s="16"/>
      <c r="I145" s="17"/>
      <c r="J145" s="17"/>
      <c r="K145" s="17"/>
      <c r="L145" s="17"/>
      <c r="M145" s="22"/>
      <c r="N145" s="17"/>
      <c r="O145" s="22"/>
      <c r="P145" s="19">
        <f t="shared" ref="P145:P149" si="22">I145+K145-M145-O145</f>
        <v>0</v>
      </c>
    </row>
    <row r="146" ht="12" customHeight="1" spans="1:16">
      <c r="A146" s="14">
        <v>69</v>
      </c>
      <c r="B146" s="15" t="s">
        <v>84</v>
      </c>
      <c r="C146" s="18"/>
      <c r="D146" s="16">
        <v>0</v>
      </c>
      <c r="E146" s="17"/>
      <c r="F146" s="17">
        <v>0</v>
      </c>
      <c r="G146" s="17"/>
      <c r="H146" s="16"/>
      <c r="I146" s="17"/>
      <c r="J146" s="17"/>
      <c r="K146" s="17"/>
      <c r="L146" s="17"/>
      <c r="M146" s="22"/>
      <c r="N146" s="17"/>
      <c r="O146" s="22"/>
      <c r="P146" s="19"/>
    </row>
    <row r="147" ht="12" customHeight="1" spans="1:16">
      <c r="A147" s="14"/>
      <c r="B147" s="15"/>
      <c r="C147" s="18">
        <v>25</v>
      </c>
      <c r="D147" s="16"/>
      <c r="E147" s="17">
        <v>77.67</v>
      </c>
      <c r="F147" s="17"/>
      <c r="G147" s="17">
        <v>30.65</v>
      </c>
      <c r="H147" s="16"/>
      <c r="I147" s="17"/>
      <c r="J147" s="17"/>
      <c r="K147" s="17"/>
      <c r="L147" s="17"/>
      <c r="M147" s="22"/>
      <c r="N147" s="17"/>
      <c r="O147" s="22"/>
      <c r="P147" s="19">
        <f t="shared" si="22"/>
        <v>0</v>
      </c>
    </row>
    <row r="148" ht="12" customHeight="1" spans="1:16">
      <c r="A148" s="14">
        <v>70</v>
      </c>
      <c r="B148" s="15" t="s">
        <v>85</v>
      </c>
      <c r="C148" s="18"/>
      <c r="D148" s="16">
        <v>6.21</v>
      </c>
      <c r="E148" s="17"/>
      <c r="F148" s="17">
        <v>2.45</v>
      </c>
      <c r="G148" s="17"/>
      <c r="H148" s="16"/>
      <c r="I148" s="17"/>
      <c r="J148" s="17"/>
      <c r="K148" s="17"/>
      <c r="L148" s="17"/>
      <c r="M148" s="22"/>
      <c r="N148" s="17"/>
      <c r="O148" s="22"/>
      <c r="P148" s="19"/>
    </row>
    <row r="149" ht="12" customHeight="1" spans="1:16">
      <c r="A149" s="14"/>
      <c r="B149" s="15"/>
      <c r="C149" s="18">
        <v>25</v>
      </c>
      <c r="D149" s="16"/>
      <c r="E149" s="17">
        <v>287.11</v>
      </c>
      <c r="F149" s="17"/>
      <c r="G149" s="17">
        <v>98.04</v>
      </c>
      <c r="H149" s="16"/>
      <c r="I149" s="17"/>
      <c r="J149" s="17"/>
      <c r="K149" s="17"/>
      <c r="L149" s="17"/>
      <c r="M149" s="22"/>
      <c r="N149" s="17"/>
      <c r="O149" s="22"/>
      <c r="P149" s="19">
        <f t="shared" si="22"/>
        <v>0</v>
      </c>
    </row>
    <row r="150" ht="12" customHeight="1" spans="1:16">
      <c r="A150" s="14">
        <v>71</v>
      </c>
      <c r="B150" s="15" t="s">
        <v>86</v>
      </c>
      <c r="C150" s="18"/>
      <c r="D150" s="16">
        <v>16.76</v>
      </c>
      <c r="E150" s="17"/>
      <c r="F150" s="17">
        <v>5.39</v>
      </c>
      <c r="G150" s="17"/>
      <c r="H150" s="16"/>
      <c r="I150" s="17"/>
      <c r="J150" s="17"/>
      <c r="K150" s="17"/>
      <c r="L150" s="17"/>
      <c r="M150" s="22"/>
      <c r="N150" s="17"/>
      <c r="O150" s="22"/>
      <c r="P150" s="19"/>
    </row>
    <row r="151" ht="12" customHeight="1" spans="1:16">
      <c r="A151" s="14"/>
      <c r="B151" s="15"/>
      <c r="C151" s="18">
        <v>25</v>
      </c>
      <c r="D151" s="16"/>
      <c r="E151" s="17">
        <v>750.3</v>
      </c>
      <c r="F151" s="17"/>
      <c r="G151" s="17">
        <v>164.27</v>
      </c>
      <c r="H151" s="16"/>
      <c r="I151" s="17"/>
      <c r="J151" s="17"/>
      <c r="K151" s="17"/>
      <c r="L151" s="17"/>
      <c r="M151" s="22"/>
      <c r="N151" s="17"/>
      <c r="O151" s="22"/>
      <c r="P151" s="19">
        <f t="shared" ref="P151:P155" si="23">I151+K151-M151-O151</f>
        <v>0</v>
      </c>
    </row>
    <row r="152" ht="12" customHeight="1" spans="1:16">
      <c r="A152" s="14">
        <v>72</v>
      </c>
      <c r="B152" s="15" t="s">
        <v>87</v>
      </c>
      <c r="C152" s="18"/>
      <c r="D152" s="16">
        <v>43.27</v>
      </c>
      <c r="E152" s="17"/>
      <c r="F152" s="17">
        <v>7.75</v>
      </c>
      <c r="G152" s="17"/>
      <c r="H152" s="16"/>
      <c r="I152" s="17"/>
      <c r="J152" s="17"/>
      <c r="K152" s="17"/>
      <c r="L152" s="17"/>
      <c r="M152" s="22"/>
      <c r="N152" s="17"/>
      <c r="O152" s="22"/>
      <c r="P152" s="19"/>
    </row>
    <row r="153" ht="12" customHeight="1" spans="1:16">
      <c r="A153" s="14"/>
      <c r="B153" s="15"/>
      <c r="C153" s="18">
        <v>25</v>
      </c>
      <c r="D153" s="16"/>
      <c r="E153" s="17">
        <v>812.39</v>
      </c>
      <c r="F153" s="17"/>
      <c r="G153" s="17">
        <v>180.8</v>
      </c>
      <c r="H153" s="16"/>
      <c r="I153" s="17"/>
      <c r="J153" s="17"/>
      <c r="K153" s="17"/>
      <c r="L153" s="17"/>
      <c r="M153" s="22"/>
      <c r="N153" s="17"/>
      <c r="O153" s="22"/>
      <c r="P153" s="19">
        <f t="shared" si="23"/>
        <v>0</v>
      </c>
    </row>
    <row r="154" ht="12" customHeight="1" spans="1:16">
      <c r="A154" s="14">
        <v>73</v>
      </c>
      <c r="B154" s="15" t="s">
        <v>88</v>
      </c>
      <c r="C154" s="18"/>
      <c r="D154" s="16">
        <v>21.72</v>
      </c>
      <c r="E154" s="17"/>
      <c r="F154" s="17">
        <v>6.71</v>
      </c>
      <c r="G154" s="17"/>
      <c r="H154" s="16"/>
      <c r="I154" s="17"/>
      <c r="J154" s="17"/>
      <c r="K154" s="17"/>
      <c r="L154" s="17"/>
      <c r="M154" s="22"/>
      <c r="N154" s="17"/>
      <c r="O154" s="22"/>
      <c r="P154" s="19"/>
    </row>
    <row r="155" ht="12" customHeight="1" spans="1:16">
      <c r="A155" s="14"/>
      <c r="B155" s="15"/>
      <c r="C155" s="18">
        <v>25</v>
      </c>
      <c r="D155" s="16"/>
      <c r="E155" s="17">
        <v>768.81</v>
      </c>
      <c r="F155" s="17"/>
      <c r="G155" s="17">
        <v>169.04</v>
      </c>
      <c r="H155" s="16"/>
      <c r="I155" s="17"/>
      <c r="J155" s="17"/>
      <c r="K155" s="17"/>
      <c r="L155" s="17"/>
      <c r="M155" s="22"/>
      <c r="N155" s="17"/>
      <c r="O155" s="22"/>
      <c r="P155" s="19">
        <f t="shared" si="23"/>
        <v>0</v>
      </c>
    </row>
    <row r="156" ht="12" customHeight="1" spans="1:16">
      <c r="A156" s="14">
        <v>74</v>
      </c>
      <c r="B156" s="15" t="s">
        <v>89</v>
      </c>
      <c r="C156" s="18"/>
      <c r="D156" s="16">
        <v>39.78</v>
      </c>
      <c r="E156" s="17"/>
      <c r="F156" s="17">
        <v>6.81</v>
      </c>
      <c r="G156" s="17"/>
      <c r="H156" s="16"/>
      <c r="I156" s="17"/>
      <c r="J156" s="17"/>
      <c r="K156" s="17"/>
      <c r="L156" s="17"/>
      <c r="M156" s="22"/>
      <c r="N156" s="17"/>
      <c r="O156" s="22"/>
      <c r="P156" s="19"/>
    </row>
    <row r="157" ht="12" customHeight="1" spans="1:16">
      <c r="A157" s="14"/>
      <c r="B157" s="15"/>
      <c r="C157" s="18">
        <v>25</v>
      </c>
      <c r="D157" s="16"/>
      <c r="E157" s="17">
        <v>848.32</v>
      </c>
      <c r="F157" s="17"/>
      <c r="G157" s="17">
        <v>153.14</v>
      </c>
      <c r="H157" s="16"/>
      <c r="I157" s="17"/>
      <c r="J157" s="17"/>
      <c r="K157" s="17"/>
      <c r="L157" s="17"/>
      <c r="M157" s="22"/>
      <c r="N157" s="17"/>
      <c r="O157" s="22"/>
      <c r="P157" s="19">
        <f t="shared" ref="P157:P161" si="24">I157+K157-M157-O157</f>
        <v>0</v>
      </c>
    </row>
    <row r="158" ht="12" customHeight="1" spans="1:16">
      <c r="A158" s="14">
        <v>75</v>
      </c>
      <c r="B158" s="15" t="s">
        <v>90</v>
      </c>
      <c r="C158" s="18"/>
      <c r="D158" s="16">
        <v>28.08</v>
      </c>
      <c r="E158" s="17"/>
      <c r="F158" s="17">
        <v>5.44</v>
      </c>
      <c r="G158" s="17"/>
      <c r="H158" s="16"/>
      <c r="I158" s="17"/>
      <c r="J158" s="17"/>
      <c r="K158" s="17"/>
      <c r="L158" s="17"/>
      <c r="M158" s="22"/>
      <c r="N158" s="17"/>
      <c r="O158" s="22"/>
      <c r="P158" s="19"/>
    </row>
    <row r="159" ht="12" customHeight="1" spans="1:16">
      <c r="A159" s="14"/>
      <c r="B159" s="15"/>
      <c r="C159" s="18">
        <v>25</v>
      </c>
      <c r="D159" s="16"/>
      <c r="E159" s="17">
        <v>607.33</v>
      </c>
      <c r="F159" s="17"/>
      <c r="G159" s="17">
        <v>130.48</v>
      </c>
      <c r="H159" s="16"/>
      <c r="I159" s="17"/>
      <c r="J159" s="17"/>
      <c r="K159" s="17"/>
      <c r="L159" s="17"/>
      <c r="M159" s="22"/>
      <c r="N159" s="17"/>
      <c r="O159" s="22"/>
      <c r="P159" s="19">
        <f t="shared" si="24"/>
        <v>0</v>
      </c>
    </row>
    <row r="160" ht="12" customHeight="1" spans="1:16">
      <c r="A160" s="14">
        <v>76</v>
      </c>
      <c r="B160" s="15" t="s">
        <v>91</v>
      </c>
      <c r="C160" s="18"/>
      <c r="D160" s="16">
        <v>20.5</v>
      </c>
      <c r="E160" s="17"/>
      <c r="F160" s="17">
        <v>5</v>
      </c>
      <c r="G160" s="17"/>
      <c r="H160" s="16"/>
      <c r="I160" s="17"/>
      <c r="J160" s="17"/>
      <c r="K160" s="17"/>
      <c r="L160" s="17"/>
      <c r="M160" s="22"/>
      <c r="N160" s="17"/>
      <c r="O160" s="22"/>
      <c r="P160" s="19"/>
    </row>
    <row r="161" ht="12" customHeight="1" spans="1:16">
      <c r="A161" s="14"/>
      <c r="B161" s="15"/>
      <c r="C161" s="18">
        <v>25</v>
      </c>
      <c r="D161" s="16"/>
      <c r="E161" s="17">
        <v>256.29</v>
      </c>
      <c r="F161" s="17"/>
      <c r="G161" s="17">
        <v>62.46</v>
      </c>
      <c r="H161" s="16"/>
      <c r="I161" s="17"/>
      <c r="J161" s="17"/>
      <c r="K161" s="17"/>
      <c r="L161" s="17"/>
      <c r="M161" s="22"/>
      <c r="N161" s="17"/>
      <c r="O161" s="22"/>
      <c r="P161" s="19">
        <f t="shared" si="24"/>
        <v>0</v>
      </c>
    </row>
    <row r="162" ht="12" customHeight="1" spans="1:16">
      <c r="A162" s="14">
        <v>77</v>
      </c>
      <c r="B162" s="15" t="s">
        <v>92</v>
      </c>
      <c r="C162" s="18"/>
      <c r="D162" s="16">
        <v>0</v>
      </c>
      <c r="E162" s="17"/>
      <c r="F162" s="17">
        <v>0</v>
      </c>
      <c r="G162" s="17"/>
      <c r="H162" s="16"/>
      <c r="I162" s="17"/>
      <c r="J162" s="17"/>
      <c r="K162" s="17"/>
      <c r="L162" s="17"/>
      <c r="M162" s="22"/>
      <c r="N162" s="17"/>
      <c r="O162" s="22"/>
      <c r="P162" s="19"/>
    </row>
    <row r="163" ht="12" customHeight="1" spans="1:16">
      <c r="A163" s="14"/>
      <c r="B163" s="15"/>
      <c r="C163" s="18">
        <v>25</v>
      </c>
      <c r="D163" s="16"/>
      <c r="E163" s="17">
        <v>0</v>
      </c>
      <c r="F163" s="17"/>
      <c r="G163" s="17">
        <v>0</v>
      </c>
      <c r="H163" s="16"/>
      <c r="I163" s="17"/>
      <c r="J163" s="17"/>
      <c r="K163" s="17"/>
      <c r="L163" s="17"/>
      <c r="M163" s="22"/>
      <c r="N163" s="17"/>
      <c r="O163" s="22"/>
      <c r="P163" s="19">
        <f t="shared" ref="P163:P167" si="25">I163+K163-M163-O163</f>
        <v>0</v>
      </c>
    </row>
    <row r="164" ht="12" customHeight="1" spans="1:16">
      <c r="A164" s="14">
        <v>78</v>
      </c>
      <c r="B164" s="15" t="s">
        <v>93</v>
      </c>
      <c r="C164" s="18"/>
      <c r="D164" s="16">
        <v>0</v>
      </c>
      <c r="E164" s="17"/>
      <c r="F164" s="17">
        <v>0</v>
      </c>
      <c r="G164" s="17"/>
      <c r="H164" s="16"/>
      <c r="I164" s="17"/>
      <c r="J164" s="17"/>
      <c r="K164" s="17"/>
      <c r="L164" s="17"/>
      <c r="M164" s="22"/>
      <c r="N164" s="17"/>
      <c r="O164" s="22"/>
      <c r="P164" s="19"/>
    </row>
    <row r="165" ht="12" customHeight="1" spans="1:16">
      <c r="A165" s="14"/>
      <c r="B165" s="15"/>
      <c r="C165" s="18">
        <v>25</v>
      </c>
      <c r="D165" s="16"/>
      <c r="E165" s="17">
        <v>0</v>
      </c>
      <c r="F165" s="17"/>
      <c r="G165" s="17">
        <v>0</v>
      </c>
      <c r="H165" s="16"/>
      <c r="I165" s="17"/>
      <c r="J165" s="17"/>
      <c r="K165" s="17"/>
      <c r="L165" s="17"/>
      <c r="M165" s="22"/>
      <c r="N165" s="17"/>
      <c r="O165" s="22"/>
      <c r="P165" s="19">
        <f t="shared" si="25"/>
        <v>0</v>
      </c>
    </row>
    <row r="166" ht="12" customHeight="1" spans="1:16">
      <c r="A166" s="14">
        <v>79</v>
      </c>
      <c r="B166" s="15" t="s">
        <v>94</v>
      </c>
      <c r="C166" s="18"/>
      <c r="D166" s="16">
        <v>0</v>
      </c>
      <c r="E166" s="17"/>
      <c r="F166" s="17">
        <v>0</v>
      </c>
      <c r="G166" s="17"/>
      <c r="H166" s="16"/>
      <c r="I166" s="17"/>
      <c r="J166" s="17"/>
      <c r="K166" s="17"/>
      <c r="L166" s="17"/>
      <c r="M166" s="22"/>
      <c r="N166" s="17"/>
      <c r="O166" s="22"/>
      <c r="P166" s="19"/>
    </row>
    <row r="167" ht="12" customHeight="1" spans="1:16">
      <c r="A167" s="14"/>
      <c r="B167" s="15"/>
      <c r="C167" s="18">
        <v>25</v>
      </c>
      <c r="D167" s="16"/>
      <c r="E167" s="17">
        <v>0</v>
      </c>
      <c r="F167" s="17"/>
      <c r="G167" s="17">
        <v>0</v>
      </c>
      <c r="H167" s="16"/>
      <c r="I167" s="17"/>
      <c r="J167" s="17"/>
      <c r="K167" s="17"/>
      <c r="L167" s="17"/>
      <c r="M167" s="22"/>
      <c r="N167" s="17"/>
      <c r="O167" s="22"/>
      <c r="P167" s="19">
        <f t="shared" si="25"/>
        <v>0</v>
      </c>
    </row>
    <row r="168" ht="12" customHeight="1" spans="1:16">
      <c r="A168" s="14">
        <v>80</v>
      </c>
      <c r="B168" s="15" t="s">
        <v>95</v>
      </c>
      <c r="C168" s="18"/>
      <c r="D168" s="16">
        <v>0</v>
      </c>
      <c r="E168" s="17"/>
      <c r="F168" s="17">
        <v>0</v>
      </c>
      <c r="G168" s="17"/>
      <c r="H168" s="16"/>
      <c r="I168" s="17"/>
      <c r="J168" s="17"/>
      <c r="K168" s="17"/>
      <c r="L168" s="17"/>
      <c r="M168" s="22"/>
      <c r="N168" s="17"/>
      <c r="O168" s="22"/>
      <c r="P168" s="19"/>
    </row>
    <row r="169" ht="12" customHeight="1" spans="1:16">
      <c r="A169" s="14"/>
      <c r="B169" s="15"/>
      <c r="C169" s="18">
        <v>25</v>
      </c>
      <c r="D169" s="16"/>
      <c r="E169" s="17">
        <v>0</v>
      </c>
      <c r="F169" s="17"/>
      <c r="G169" s="17">
        <v>0</v>
      </c>
      <c r="H169" s="16"/>
      <c r="I169" s="17"/>
      <c r="J169" s="17"/>
      <c r="K169" s="17"/>
      <c r="L169" s="17"/>
      <c r="M169" s="22"/>
      <c r="N169" s="17"/>
      <c r="O169" s="22"/>
      <c r="P169" s="19">
        <f t="shared" ref="P169:P173" si="26">I169+K169-M169-O169</f>
        <v>0</v>
      </c>
    </row>
    <row r="170" ht="12" customHeight="1" spans="1:16">
      <c r="A170" s="14">
        <v>81</v>
      </c>
      <c r="B170" s="15" t="s">
        <v>96</v>
      </c>
      <c r="C170" s="18"/>
      <c r="D170" s="16">
        <v>0</v>
      </c>
      <c r="E170" s="17"/>
      <c r="F170" s="17">
        <v>0</v>
      </c>
      <c r="G170" s="17"/>
      <c r="H170" s="16"/>
      <c r="I170" s="17"/>
      <c r="J170" s="17"/>
      <c r="K170" s="17"/>
      <c r="L170" s="17"/>
      <c r="M170" s="22"/>
      <c r="N170" s="17"/>
      <c r="O170" s="22"/>
      <c r="P170" s="19"/>
    </row>
    <row r="171" ht="12" customHeight="1" spans="1:16">
      <c r="A171" s="14"/>
      <c r="B171" s="15"/>
      <c r="C171" s="18">
        <v>25</v>
      </c>
      <c r="D171" s="16"/>
      <c r="E171" s="17">
        <v>0</v>
      </c>
      <c r="F171" s="17"/>
      <c r="G171" s="17">
        <v>0</v>
      </c>
      <c r="H171" s="16"/>
      <c r="I171" s="17"/>
      <c r="J171" s="17"/>
      <c r="K171" s="17"/>
      <c r="L171" s="17"/>
      <c r="M171" s="22"/>
      <c r="N171" s="17"/>
      <c r="O171" s="22"/>
      <c r="P171" s="19">
        <f t="shared" si="26"/>
        <v>0</v>
      </c>
    </row>
    <row r="172" ht="12" customHeight="1" spans="1:16">
      <c r="A172" s="14">
        <v>82</v>
      </c>
      <c r="B172" s="15" t="s">
        <v>97</v>
      </c>
      <c r="C172" s="18"/>
      <c r="D172" s="16">
        <v>0</v>
      </c>
      <c r="E172" s="17"/>
      <c r="F172" s="17">
        <v>0</v>
      </c>
      <c r="G172" s="17"/>
      <c r="H172" s="16"/>
      <c r="I172" s="17"/>
      <c r="J172" s="17"/>
      <c r="K172" s="17"/>
      <c r="L172" s="17"/>
      <c r="M172" s="22"/>
      <c r="N172" s="17"/>
      <c r="O172" s="22"/>
      <c r="P172" s="19"/>
    </row>
    <row r="173" ht="12" customHeight="1" spans="1:16">
      <c r="A173" s="14"/>
      <c r="B173" s="15"/>
      <c r="C173" s="18">
        <v>25</v>
      </c>
      <c r="D173" s="16"/>
      <c r="E173" s="17">
        <v>0</v>
      </c>
      <c r="F173" s="17"/>
      <c r="G173" s="17">
        <v>0</v>
      </c>
      <c r="H173" s="16"/>
      <c r="I173" s="17"/>
      <c r="J173" s="17"/>
      <c r="K173" s="17"/>
      <c r="L173" s="17"/>
      <c r="M173" s="22"/>
      <c r="N173" s="17"/>
      <c r="O173" s="22"/>
      <c r="P173" s="19">
        <f t="shared" si="26"/>
        <v>0</v>
      </c>
    </row>
    <row r="174" ht="12" customHeight="1" spans="1:16">
      <c r="A174" s="14">
        <v>83</v>
      </c>
      <c r="B174" s="15" t="s">
        <v>98</v>
      </c>
      <c r="C174" s="18"/>
      <c r="D174" s="16">
        <v>0</v>
      </c>
      <c r="E174" s="17"/>
      <c r="F174" s="17">
        <v>0</v>
      </c>
      <c r="G174" s="17"/>
      <c r="H174" s="16"/>
      <c r="I174" s="17"/>
      <c r="J174" s="17"/>
      <c r="K174" s="17"/>
      <c r="L174" s="17"/>
      <c r="M174" s="22"/>
      <c r="N174" s="17"/>
      <c r="O174" s="22"/>
      <c r="P174" s="19"/>
    </row>
    <row r="175" ht="12" customHeight="1" spans="1:16">
      <c r="A175" s="14"/>
      <c r="B175" s="15"/>
      <c r="C175" s="18">
        <v>25</v>
      </c>
      <c r="D175" s="16"/>
      <c r="E175" s="17">
        <v>0</v>
      </c>
      <c r="F175" s="17"/>
      <c r="G175" s="17">
        <v>0</v>
      </c>
      <c r="H175" s="16"/>
      <c r="I175" s="17"/>
      <c r="J175" s="17"/>
      <c r="K175" s="17"/>
      <c r="L175" s="17"/>
      <c r="M175" s="22"/>
      <c r="N175" s="17"/>
      <c r="O175" s="22"/>
      <c r="P175" s="19">
        <f t="shared" ref="P175:P179" si="27">I175+K175-M175-O175</f>
        <v>0</v>
      </c>
    </row>
    <row r="176" ht="12" customHeight="1" spans="1:16">
      <c r="A176" s="14">
        <v>84</v>
      </c>
      <c r="B176" s="15" t="s">
        <v>99</v>
      </c>
      <c r="C176" s="18"/>
      <c r="D176" s="16">
        <v>0</v>
      </c>
      <c r="E176" s="17"/>
      <c r="F176" s="17">
        <v>0</v>
      </c>
      <c r="G176" s="17"/>
      <c r="H176" s="16"/>
      <c r="I176" s="17"/>
      <c r="J176" s="17"/>
      <c r="K176" s="17"/>
      <c r="L176" s="17"/>
      <c r="M176" s="22"/>
      <c r="N176" s="17"/>
      <c r="O176" s="22"/>
      <c r="P176" s="19"/>
    </row>
    <row r="177" ht="12" customHeight="1" spans="1:16">
      <c r="A177" s="14"/>
      <c r="B177" s="15"/>
      <c r="C177" s="18">
        <v>25</v>
      </c>
      <c r="D177" s="16"/>
      <c r="E177" s="17">
        <v>0</v>
      </c>
      <c r="F177" s="17"/>
      <c r="G177" s="17">
        <v>0</v>
      </c>
      <c r="H177" s="16"/>
      <c r="I177" s="17"/>
      <c r="J177" s="17"/>
      <c r="K177" s="17"/>
      <c r="L177" s="17"/>
      <c r="M177" s="22"/>
      <c r="N177" s="17"/>
      <c r="O177" s="22"/>
      <c r="P177" s="19">
        <f t="shared" si="27"/>
        <v>0</v>
      </c>
    </row>
    <row r="178" ht="12" customHeight="1" spans="1:16">
      <c r="A178" s="14">
        <v>85</v>
      </c>
      <c r="B178" s="15" t="s">
        <v>100</v>
      </c>
      <c r="C178" s="18"/>
      <c r="D178" s="16">
        <v>0</v>
      </c>
      <c r="E178" s="17"/>
      <c r="F178" s="17">
        <v>0</v>
      </c>
      <c r="G178" s="17"/>
      <c r="H178" s="16"/>
      <c r="I178" s="17"/>
      <c r="J178" s="17"/>
      <c r="K178" s="17"/>
      <c r="L178" s="17"/>
      <c r="M178" s="22"/>
      <c r="N178" s="17"/>
      <c r="O178" s="22"/>
      <c r="P178" s="19"/>
    </row>
    <row r="179" ht="12" customHeight="1" spans="1:16">
      <c r="A179" s="14"/>
      <c r="B179" s="15"/>
      <c r="C179" s="18">
        <v>25</v>
      </c>
      <c r="D179" s="16"/>
      <c r="E179" s="17">
        <v>0</v>
      </c>
      <c r="F179" s="17"/>
      <c r="G179" s="17">
        <v>0</v>
      </c>
      <c r="H179" s="16"/>
      <c r="I179" s="17"/>
      <c r="J179" s="17"/>
      <c r="K179" s="17"/>
      <c r="L179" s="17"/>
      <c r="M179" s="22"/>
      <c r="N179" s="17"/>
      <c r="O179" s="22"/>
      <c r="P179" s="19">
        <f t="shared" si="27"/>
        <v>0</v>
      </c>
    </row>
    <row r="180" ht="12" customHeight="1" spans="1:16">
      <c r="A180" s="14">
        <v>86</v>
      </c>
      <c r="B180" s="15" t="s">
        <v>101</v>
      </c>
      <c r="C180" s="18"/>
      <c r="D180" s="16">
        <v>0</v>
      </c>
      <c r="E180" s="17"/>
      <c r="F180" s="17">
        <v>0</v>
      </c>
      <c r="G180" s="17"/>
      <c r="H180" s="16"/>
      <c r="I180" s="17"/>
      <c r="J180" s="17"/>
      <c r="K180" s="17"/>
      <c r="L180" s="17"/>
      <c r="M180" s="22"/>
      <c r="N180" s="17"/>
      <c r="O180" s="22"/>
      <c r="P180" s="19"/>
    </row>
    <row r="181" ht="12" customHeight="1" spans="1:16">
      <c r="A181" s="14"/>
      <c r="B181" s="15"/>
      <c r="C181" s="18">
        <v>25</v>
      </c>
      <c r="D181" s="16"/>
      <c r="E181" s="17">
        <v>423.12</v>
      </c>
      <c r="F181" s="17"/>
      <c r="G181" s="17">
        <v>0</v>
      </c>
      <c r="H181" s="16"/>
      <c r="I181" s="17"/>
      <c r="J181" s="17"/>
      <c r="K181" s="17"/>
      <c r="L181" s="17"/>
      <c r="M181" s="22"/>
      <c r="N181" s="17"/>
      <c r="O181" s="22"/>
      <c r="P181" s="19">
        <f t="shared" ref="P181:P185" si="28">I181+K181-M181-O181</f>
        <v>0</v>
      </c>
    </row>
    <row r="182" ht="12" customHeight="1" spans="1:16">
      <c r="A182" s="14">
        <v>87</v>
      </c>
      <c r="B182" s="15" t="s">
        <v>102</v>
      </c>
      <c r="C182" s="18"/>
      <c r="D182" s="16">
        <v>33.85</v>
      </c>
      <c r="E182" s="17"/>
      <c r="F182" s="17">
        <v>0</v>
      </c>
      <c r="G182" s="17"/>
      <c r="H182" s="16"/>
      <c r="I182" s="17"/>
      <c r="J182" s="17"/>
      <c r="K182" s="17"/>
      <c r="L182" s="17"/>
      <c r="M182" s="22"/>
      <c r="N182" s="17"/>
      <c r="O182" s="22"/>
      <c r="P182" s="19"/>
    </row>
    <row r="183" ht="12" customHeight="1" spans="1:16">
      <c r="A183" s="14"/>
      <c r="B183" s="15"/>
      <c r="C183" s="18">
        <v>25</v>
      </c>
      <c r="D183" s="16"/>
      <c r="E183" s="17">
        <v>1280.88</v>
      </c>
      <c r="F183" s="17"/>
      <c r="G183" s="17">
        <v>0</v>
      </c>
      <c r="H183" s="16"/>
      <c r="I183" s="17"/>
      <c r="J183" s="17"/>
      <c r="K183" s="17"/>
      <c r="L183" s="17"/>
      <c r="M183" s="22"/>
      <c r="N183" s="17"/>
      <c r="O183" s="22"/>
      <c r="P183" s="19">
        <f t="shared" si="28"/>
        <v>0</v>
      </c>
    </row>
    <row r="184" ht="12" customHeight="1" spans="1:16">
      <c r="A184" s="14">
        <v>88</v>
      </c>
      <c r="B184" s="15" t="s">
        <v>103</v>
      </c>
      <c r="C184" s="18"/>
      <c r="D184" s="16">
        <v>68.62</v>
      </c>
      <c r="E184" s="17"/>
      <c r="F184" s="17">
        <v>0</v>
      </c>
      <c r="G184" s="17"/>
      <c r="H184" s="16"/>
      <c r="I184" s="17"/>
      <c r="J184" s="17"/>
      <c r="K184" s="17"/>
      <c r="L184" s="17"/>
      <c r="M184" s="22"/>
      <c r="N184" s="17"/>
      <c r="O184" s="22"/>
      <c r="P184" s="19"/>
    </row>
    <row r="185" ht="12" customHeight="1" spans="1:16">
      <c r="A185" s="14"/>
      <c r="B185" s="15"/>
      <c r="C185" s="18">
        <v>25</v>
      </c>
      <c r="D185" s="16"/>
      <c r="E185" s="17">
        <v>1443.6</v>
      </c>
      <c r="F185" s="17"/>
      <c r="G185" s="17">
        <v>0</v>
      </c>
      <c r="H185" s="16"/>
      <c r="I185" s="17"/>
      <c r="J185" s="17"/>
      <c r="K185" s="17"/>
      <c r="L185" s="17"/>
      <c r="M185" s="22"/>
      <c r="N185" s="17"/>
      <c r="O185" s="22"/>
      <c r="P185" s="19">
        <f t="shared" si="28"/>
        <v>0</v>
      </c>
    </row>
    <row r="186" ht="12" customHeight="1" spans="1:16">
      <c r="A186" s="14">
        <v>89</v>
      </c>
      <c r="B186" s="15" t="s">
        <v>104</v>
      </c>
      <c r="C186" s="18"/>
      <c r="D186" s="16">
        <v>46.87</v>
      </c>
      <c r="E186" s="17"/>
      <c r="F186" s="17">
        <v>0</v>
      </c>
      <c r="G186" s="17"/>
      <c r="H186" s="16"/>
      <c r="I186" s="17"/>
      <c r="J186" s="17"/>
      <c r="K186" s="17"/>
      <c r="L186" s="17"/>
      <c r="M186" s="22"/>
      <c r="N186" s="17"/>
      <c r="O186" s="22"/>
      <c r="P186" s="19"/>
    </row>
    <row r="187" ht="12" customHeight="1" spans="1:16">
      <c r="A187" s="14"/>
      <c r="B187" s="15"/>
      <c r="C187" s="18">
        <v>25</v>
      </c>
      <c r="D187" s="16"/>
      <c r="E187" s="17">
        <v>1183.54</v>
      </c>
      <c r="F187" s="17"/>
      <c r="G187" s="17">
        <v>0</v>
      </c>
      <c r="H187" s="16"/>
      <c r="I187" s="17"/>
      <c r="J187" s="17"/>
      <c r="K187" s="17"/>
      <c r="L187" s="17"/>
      <c r="M187" s="22"/>
      <c r="N187" s="17"/>
      <c r="O187" s="22"/>
      <c r="P187" s="19">
        <f t="shared" ref="P187:P191" si="29">I187+K187-M187-O187</f>
        <v>0</v>
      </c>
    </row>
    <row r="188" ht="12" customHeight="1" spans="1:16">
      <c r="A188" s="14">
        <v>90</v>
      </c>
      <c r="B188" s="15" t="s">
        <v>105</v>
      </c>
      <c r="C188" s="18"/>
      <c r="D188" s="16">
        <v>47.82</v>
      </c>
      <c r="E188" s="17"/>
      <c r="F188" s="17">
        <v>0</v>
      </c>
      <c r="G188" s="17"/>
      <c r="H188" s="16"/>
      <c r="I188" s="17"/>
      <c r="J188" s="17"/>
      <c r="K188" s="17"/>
      <c r="L188" s="17"/>
      <c r="M188" s="22"/>
      <c r="N188" s="17"/>
      <c r="O188" s="22"/>
      <c r="P188" s="19"/>
    </row>
    <row r="189" ht="12" customHeight="1" spans="1:16">
      <c r="A189" s="14"/>
      <c r="B189" s="15"/>
      <c r="C189" s="18">
        <v>25</v>
      </c>
      <c r="D189" s="16"/>
      <c r="E189" s="17">
        <v>1223.44</v>
      </c>
      <c r="F189" s="17"/>
      <c r="G189" s="17">
        <v>0</v>
      </c>
      <c r="H189" s="16"/>
      <c r="I189" s="17"/>
      <c r="J189" s="17"/>
      <c r="K189" s="17"/>
      <c r="L189" s="17"/>
      <c r="M189" s="22"/>
      <c r="N189" s="17"/>
      <c r="O189" s="22"/>
      <c r="P189" s="19">
        <f t="shared" si="29"/>
        <v>0</v>
      </c>
    </row>
    <row r="190" ht="12" customHeight="1" spans="1:16">
      <c r="A190" s="14">
        <v>91</v>
      </c>
      <c r="B190" s="15" t="s">
        <v>106</v>
      </c>
      <c r="C190" s="18"/>
      <c r="D190" s="16">
        <v>50.06</v>
      </c>
      <c r="E190" s="17"/>
      <c r="F190" s="17">
        <v>0</v>
      </c>
      <c r="G190" s="17"/>
      <c r="H190" s="16"/>
      <c r="I190" s="17"/>
      <c r="J190" s="17"/>
      <c r="K190" s="17"/>
      <c r="L190" s="17"/>
      <c r="M190" s="22"/>
      <c r="N190" s="17"/>
      <c r="O190" s="22"/>
      <c r="P190" s="19"/>
    </row>
    <row r="191" ht="12" customHeight="1" spans="1:16">
      <c r="A191" s="14"/>
      <c r="B191" s="15"/>
      <c r="C191" s="18">
        <v>25</v>
      </c>
      <c r="D191" s="16"/>
      <c r="E191" s="17">
        <v>1044.63</v>
      </c>
      <c r="F191" s="17"/>
      <c r="G191" s="17">
        <v>0</v>
      </c>
      <c r="H191" s="16"/>
      <c r="I191" s="17"/>
      <c r="J191" s="17"/>
      <c r="K191" s="17"/>
      <c r="L191" s="17"/>
      <c r="M191" s="22"/>
      <c r="N191" s="17"/>
      <c r="O191" s="22"/>
      <c r="P191" s="19">
        <f t="shared" si="29"/>
        <v>0</v>
      </c>
    </row>
    <row r="192" ht="12" customHeight="1" spans="1:16">
      <c r="A192" s="14">
        <v>92</v>
      </c>
      <c r="B192" s="15" t="s">
        <v>107</v>
      </c>
      <c r="C192" s="18"/>
      <c r="D192" s="16">
        <v>33.51</v>
      </c>
      <c r="E192" s="17"/>
      <c r="F192" s="17">
        <v>0</v>
      </c>
      <c r="G192" s="17"/>
      <c r="H192" s="16"/>
      <c r="I192" s="17"/>
      <c r="J192" s="17"/>
      <c r="K192" s="17"/>
      <c r="L192" s="17"/>
      <c r="M192" s="22"/>
      <c r="N192" s="17"/>
      <c r="O192" s="22"/>
      <c r="P192" s="19"/>
    </row>
    <row r="193" ht="12" customHeight="1" spans="1:16">
      <c r="A193" s="14"/>
      <c r="B193" s="15"/>
      <c r="C193" s="18">
        <v>25</v>
      </c>
      <c r="D193" s="16"/>
      <c r="E193" s="17">
        <v>616.09</v>
      </c>
      <c r="F193" s="17"/>
      <c r="G193" s="17">
        <v>0</v>
      </c>
      <c r="H193" s="16"/>
      <c r="I193" s="17"/>
      <c r="J193" s="17"/>
      <c r="K193" s="17"/>
      <c r="L193" s="17"/>
      <c r="M193" s="22"/>
      <c r="N193" s="17"/>
      <c r="O193" s="22"/>
      <c r="P193" s="19">
        <f t="shared" ref="P193:P197" si="30">I193+K193-M193-O193</f>
        <v>0</v>
      </c>
    </row>
    <row r="194" ht="12" customHeight="1" spans="1:16">
      <c r="A194" s="14">
        <v>93</v>
      </c>
      <c r="B194" s="15" t="s">
        <v>108</v>
      </c>
      <c r="C194" s="18"/>
      <c r="D194" s="16">
        <v>15.78</v>
      </c>
      <c r="E194" s="17"/>
      <c r="F194" s="17">
        <v>0</v>
      </c>
      <c r="G194" s="17"/>
      <c r="H194" s="16"/>
      <c r="I194" s="17"/>
      <c r="J194" s="17"/>
      <c r="K194" s="17"/>
      <c r="L194" s="17"/>
      <c r="M194" s="22"/>
      <c r="N194" s="17"/>
      <c r="O194" s="22"/>
      <c r="P194" s="19"/>
    </row>
    <row r="195" ht="12" customHeight="1" spans="1:16">
      <c r="A195" s="14"/>
      <c r="B195" s="15"/>
      <c r="C195" s="18">
        <v>25</v>
      </c>
      <c r="D195" s="16"/>
      <c r="E195" s="17">
        <v>197.2</v>
      </c>
      <c r="F195" s="17"/>
      <c r="G195" s="17">
        <v>0</v>
      </c>
      <c r="H195" s="16"/>
      <c r="I195" s="17"/>
      <c r="J195" s="17"/>
      <c r="K195" s="17"/>
      <c r="L195" s="17"/>
      <c r="M195" s="22"/>
      <c r="N195" s="17"/>
      <c r="O195" s="22"/>
      <c r="P195" s="19">
        <f t="shared" si="30"/>
        <v>0</v>
      </c>
    </row>
    <row r="196" ht="12" customHeight="1" spans="1:16">
      <c r="A196" s="14">
        <v>94</v>
      </c>
      <c r="B196" s="15" t="s">
        <v>109</v>
      </c>
      <c r="C196" s="18"/>
      <c r="D196" s="16">
        <v>0</v>
      </c>
      <c r="E196" s="17"/>
      <c r="F196" s="17">
        <v>0</v>
      </c>
      <c r="G196" s="17"/>
      <c r="H196" s="16"/>
      <c r="I196" s="17"/>
      <c r="J196" s="17"/>
      <c r="K196" s="17"/>
      <c r="L196" s="17"/>
      <c r="M196" s="22"/>
      <c r="N196" s="17"/>
      <c r="O196" s="22"/>
      <c r="P196" s="19"/>
    </row>
    <row r="197" ht="12" customHeight="1" spans="1:16">
      <c r="A197" s="14"/>
      <c r="B197" s="15"/>
      <c r="C197" s="18">
        <v>25</v>
      </c>
      <c r="D197" s="16"/>
      <c r="E197" s="17">
        <v>0</v>
      </c>
      <c r="F197" s="17"/>
      <c r="G197" s="17">
        <v>0</v>
      </c>
      <c r="H197" s="16"/>
      <c r="I197" s="17"/>
      <c r="J197" s="17"/>
      <c r="K197" s="17"/>
      <c r="L197" s="17"/>
      <c r="M197" s="22"/>
      <c r="N197" s="17"/>
      <c r="O197" s="22"/>
      <c r="P197" s="19">
        <f t="shared" si="30"/>
        <v>0</v>
      </c>
    </row>
    <row r="198" ht="12" customHeight="1" spans="1:16">
      <c r="A198" s="14">
        <v>95</v>
      </c>
      <c r="B198" s="15" t="s">
        <v>110</v>
      </c>
      <c r="C198" s="18"/>
      <c r="D198" s="16">
        <v>0</v>
      </c>
      <c r="E198" s="17"/>
      <c r="F198" s="17">
        <v>0</v>
      </c>
      <c r="G198" s="17"/>
      <c r="H198" s="16"/>
      <c r="I198" s="17"/>
      <c r="J198" s="17"/>
      <c r="K198" s="17"/>
      <c r="L198" s="17"/>
      <c r="M198" s="22"/>
      <c r="N198" s="17"/>
      <c r="O198" s="22"/>
      <c r="P198" s="19"/>
    </row>
    <row r="199" ht="12" customHeight="1" spans="1:16">
      <c r="A199" s="14"/>
      <c r="B199" s="15"/>
      <c r="C199" s="18">
        <v>25</v>
      </c>
      <c r="D199" s="16"/>
      <c r="E199" s="17">
        <v>0</v>
      </c>
      <c r="F199" s="17"/>
      <c r="G199" s="17">
        <v>0</v>
      </c>
      <c r="H199" s="16"/>
      <c r="I199" s="17"/>
      <c r="J199" s="17"/>
      <c r="K199" s="17"/>
      <c r="L199" s="17"/>
      <c r="M199" s="22"/>
      <c r="N199" s="17"/>
      <c r="O199" s="22"/>
      <c r="P199" s="19">
        <f t="shared" ref="P199:P203" si="31">I199+K199-M199-O199</f>
        <v>0</v>
      </c>
    </row>
    <row r="200" s="1" customFormat="1" ht="12" customHeight="1" spans="1:16">
      <c r="A200" s="14">
        <v>96</v>
      </c>
      <c r="B200" s="15" t="s">
        <v>111</v>
      </c>
      <c r="C200" s="18"/>
      <c r="D200" s="16">
        <v>0</v>
      </c>
      <c r="E200" s="17"/>
      <c r="F200" s="17">
        <v>0</v>
      </c>
      <c r="G200" s="17"/>
      <c r="H200" s="16"/>
      <c r="I200" s="17"/>
      <c r="J200" s="17"/>
      <c r="K200" s="17"/>
      <c r="L200" s="17"/>
      <c r="M200" s="22"/>
      <c r="N200" s="17"/>
      <c r="O200" s="22"/>
      <c r="P200" s="19"/>
    </row>
    <row r="201" s="1" customFormat="1" ht="12" customHeight="1" spans="1:16">
      <c r="A201" s="14"/>
      <c r="B201" s="15"/>
      <c r="C201" s="18">
        <v>25</v>
      </c>
      <c r="D201" s="16"/>
      <c r="E201" s="17">
        <v>0</v>
      </c>
      <c r="F201" s="17"/>
      <c r="G201" s="17">
        <v>0</v>
      </c>
      <c r="H201" s="16"/>
      <c r="I201" s="17"/>
      <c r="J201" s="17"/>
      <c r="K201" s="17"/>
      <c r="L201" s="17"/>
      <c r="M201" s="22"/>
      <c r="N201" s="17"/>
      <c r="O201" s="22"/>
      <c r="P201" s="19">
        <f t="shared" si="31"/>
        <v>0</v>
      </c>
    </row>
    <row r="202" s="1" customFormat="1" ht="12" customHeight="1" spans="1:16">
      <c r="A202" s="14">
        <v>97</v>
      </c>
      <c r="B202" s="15" t="s">
        <v>112</v>
      </c>
      <c r="C202" s="18"/>
      <c r="D202" s="16">
        <v>0</v>
      </c>
      <c r="E202" s="17"/>
      <c r="F202" s="17">
        <v>0</v>
      </c>
      <c r="G202" s="17"/>
      <c r="H202" s="16"/>
      <c r="I202" s="17"/>
      <c r="J202" s="17"/>
      <c r="K202" s="17"/>
      <c r="L202" s="17"/>
      <c r="M202" s="22"/>
      <c r="N202" s="17"/>
      <c r="O202" s="22"/>
      <c r="P202" s="19"/>
    </row>
    <row r="203" s="1" customFormat="1" ht="12" customHeight="1" spans="1:16">
      <c r="A203" s="14"/>
      <c r="B203" s="15"/>
      <c r="C203" s="18">
        <v>25</v>
      </c>
      <c r="D203" s="16"/>
      <c r="E203" s="17">
        <v>0</v>
      </c>
      <c r="F203" s="17"/>
      <c r="G203" s="17">
        <v>0</v>
      </c>
      <c r="H203" s="16"/>
      <c r="I203" s="17"/>
      <c r="J203" s="17"/>
      <c r="K203" s="17"/>
      <c r="L203" s="17"/>
      <c r="M203" s="22"/>
      <c r="N203" s="17"/>
      <c r="O203" s="22"/>
      <c r="P203" s="19">
        <f t="shared" si="31"/>
        <v>0</v>
      </c>
    </row>
    <row r="204" s="1" customFormat="1" ht="12" customHeight="1" spans="1:16">
      <c r="A204" s="14">
        <v>98</v>
      </c>
      <c r="B204" s="15" t="s">
        <v>113</v>
      </c>
      <c r="C204" s="18"/>
      <c r="D204" s="16">
        <v>0</v>
      </c>
      <c r="E204" s="17"/>
      <c r="F204" s="17">
        <v>0</v>
      </c>
      <c r="G204" s="17"/>
      <c r="H204" s="16"/>
      <c r="I204" s="17"/>
      <c r="J204" s="17"/>
      <c r="K204" s="17"/>
      <c r="L204" s="17"/>
      <c r="M204" s="22"/>
      <c r="N204" s="17"/>
      <c r="O204" s="22"/>
      <c r="P204" s="19"/>
    </row>
    <row r="205" s="1" customFormat="1" ht="12" customHeight="1" spans="1:16">
      <c r="A205" s="14"/>
      <c r="B205" s="15"/>
      <c r="C205" s="18">
        <v>25</v>
      </c>
      <c r="D205" s="16"/>
      <c r="E205" s="17">
        <v>0</v>
      </c>
      <c r="F205" s="17"/>
      <c r="G205" s="17">
        <v>0</v>
      </c>
      <c r="H205" s="16"/>
      <c r="I205" s="17"/>
      <c r="J205" s="17"/>
      <c r="K205" s="17"/>
      <c r="L205" s="17"/>
      <c r="M205" s="22"/>
      <c r="N205" s="17"/>
      <c r="O205" s="22"/>
      <c r="P205" s="19">
        <f t="shared" ref="P205:P209" si="32">I205+K205-M205-O205</f>
        <v>0</v>
      </c>
    </row>
    <row r="206" s="1" customFormat="1" ht="12" customHeight="1" spans="1:16">
      <c r="A206" s="14">
        <v>99</v>
      </c>
      <c r="B206" s="15" t="s">
        <v>114</v>
      </c>
      <c r="C206" s="18"/>
      <c r="D206" s="16">
        <v>0</v>
      </c>
      <c r="E206" s="17"/>
      <c r="F206" s="17">
        <v>0</v>
      </c>
      <c r="G206" s="17"/>
      <c r="H206" s="16"/>
      <c r="I206" s="17"/>
      <c r="J206" s="17"/>
      <c r="K206" s="17"/>
      <c r="L206" s="17"/>
      <c r="M206" s="22"/>
      <c r="N206" s="17"/>
      <c r="O206" s="22"/>
      <c r="P206" s="19"/>
    </row>
    <row r="207" s="1" customFormat="1" ht="12" customHeight="1" spans="1:16">
      <c r="A207" s="14"/>
      <c r="B207" s="15"/>
      <c r="C207" s="18">
        <v>25</v>
      </c>
      <c r="D207" s="16"/>
      <c r="E207" s="17">
        <v>995.96</v>
      </c>
      <c r="F207" s="17"/>
      <c r="G207" s="17">
        <v>0</v>
      </c>
      <c r="H207" s="16"/>
      <c r="I207" s="17"/>
      <c r="J207" s="17"/>
      <c r="K207" s="17"/>
      <c r="L207" s="17"/>
      <c r="M207" s="22"/>
      <c r="N207" s="17"/>
      <c r="O207" s="22"/>
      <c r="P207" s="19">
        <f t="shared" si="32"/>
        <v>0</v>
      </c>
    </row>
    <row r="208" s="1" customFormat="1" ht="12" customHeight="1" spans="1:16">
      <c r="A208" s="14">
        <v>100</v>
      </c>
      <c r="B208" s="15" t="s">
        <v>115</v>
      </c>
      <c r="C208" s="18"/>
      <c r="D208" s="16">
        <v>79.68</v>
      </c>
      <c r="E208" s="17"/>
      <c r="F208" s="17">
        <v>0</v>
      </c>
      <c r="G208" s="17"/>
      <c r="H208" s="16"/>
      <c r="I208" s="17"/>
      <c r="J208" s="17"/>
      <c r="K208" s="17"/>
      <c r="L208" s="17"/>
      <c r="M208" s="22"/>
      <c r="N208" s="17"/>
      <c r="O208" s="22"/>
      <c r="P208" s="19"/>
    </row>
    <row r="209" ht="12" customHeight="1" spans="1:16">
      <c r="A209" s="14"/>
      <c r="B209" s="15"/>
      <c r="C209" s="18">
        <v>25</v>
      </c>
      <c r="D209" s="16"/>
      <c r="E209" s="17">
        <v>2043.76</v>
      </c>
      <c r="F209" s="17"/>
      <c r="G209" s="17">
        <v>0</v>
      </c>
      <c r="H209" s="16"/>
      <c r="I209" s="17"/>
      <c r="J209" s="17"/>
      <c r="K209" s="17"/>
      <c r="L209" s="17"/>
      <c r="M209" s="22"/>
      <c r="N209" s="17"/>
      <c r="O209" s="22"/>
      <c r="P209" s="19">
        <f t="shared" si="32"/>
        <v>0</v>
      </c>
    </row>
    <row r="210" ht="12" customHeight="1" spans="1:16">
      <c r="A210" s="14">
        <v>101</v>
      </c>
      <c r="B210" s="15" t="s">
        <v>116</v>
      </c>
      <c r="C210" s="18"/>
      <c r="D210" s="16">
        <v>83.82</v>
      </c>
      <c r="E210" s="17"/>
      <c r="F210" s="17">
        <v>0</v>
      </c>
      <c r="G210" s="17"/>
      <c r="H210" s="16"/>
      <c r="I210" s="17"/>
      <c r="J210" s="17"/>
      <c r="K210" s="17"/>
      <c r="L210" s="17"/>
      <c r="M210" s="22"/>
      <c r="N210" s="17"/>
      <c r="O210" s="22"/>
      <c r="P210" s="19"/>
    </row>
    <row r="211" ht="12" customHeight="1" spans="1:16">
      <c r="A211" s="14"/>
      <c r="B211" s="15"/>
      <c r="C211" s="18">
        <v>25</v>
      </c>
      <c r="D211" s="16"/>
      <c r="E211" s="17">
        <v>2054.8</v>
      </c>
      <c r="F211" s="17"/>
      <c r="G211" s="17">
        <v>0</v>
      </c>
      <c r="H211" s="16"/>
      <c r="I211" s="17"/>
      <c r="J211" s="17"/>
      <c r="K211" s="17"/>
      <c r="L211" s="17"/>
      <c r="M211" s="22"/>
      <c r="N211" s="17"/>
      <c r="O211" s="22"/>
      <c r="P211" s="19">
        <f t="shared" ref="P211:P215" si="33">I211+K211-M211-O211</f>
        <v>0</v>
      </c>
    </row>
    <row r="212" ht="12" customHeight="1" spans="1:16">
      <c r="A212" s="14">
        <v>102</v>
      </c>
      <c r="B212" s="15" t="s">
        <v>117</v>
      </c>
      <c r="C212" s="18"/>
      <c r="D212" s="16">
        <v>80.56</v>
      </c>
      <c r="E212" s="17"/>
      <c r="F212" s="17">
        <v>0</v>
      </c>
      <c r="G212" s="17"/>
      <c r="H212" s="16"/>
      <c r="I212" s="17"/>
      <c r="J212" s="17"/>
      <c r="K212" s="17"/>
      <c r="L212" s="17"/>
      <c r="M212" s="22"/>
      <c r="N212" s="17"/>
      <c r="O212" s="22"/>
      <c r="P212" s="19"/>
    </row>
    <row r="213" ht="12" customHeight="1" spans="1:16">
      <c r="A213" s="14"/>
      <c r="B213" s="15"/>
      <c r="C213" s="18">
        <v>25</v>
      </c>
      <c r="D213" s="16"/>
      <c r="E213" s="17">
        <v>1842.76</v>
      </c>
      <c r="F213" s="17"/>
      <c r="G213" s="17">
        <v>0</v>
      </c>
      <c r="H213" s="16"/>
      <c r="I213" s="17"/>
      <c r="J213" s="17"/>
      <c r="K213" s="17"/>
      <c r="L213" s="17"/>
      <c r="M213" s="22"/>
      <c r="N213" s="17"/>
      <c r="O213" s="22"/>
      <c r="P213" s="19">
        <f t="shared" si="33"/>
        <v>0</v>
      </c>
    </row>
    <row r="214" ht="12" customHeight="1" spans="1:16">
      <c r="A214" s="14">
        <v>103</v>
      </c>
      <c r="B214" s="15" t="s">
        <v>118</v>
      </c>
      <c r="C214" s="18"/>
      <c r="D214" s="16">
        <v>66.86</v>
      </c>
      <c r="E214" s="17"/>
      <c r="F214" s="17">
        <v>0</v>
      </c>
      <c r="G214" s="17"/>
      <c r="H214" s="16"/>
      <c r="I214" s="17"/>
      <c r="J214" s="17"/>
      <c r="K214" s="17"/>
      <c r="L214" s="17"/>
      <c r="M214" s="22"/>
      <c r="N214" s="17"/>
      <c r="O214" s="22"/>
      <c r="P214" s="19"/>
    </row>
    <row r="215" ht="12" customHeight="1" spans="1:16">
      <c r="A215" s="14"/>
      <c r="B215" s="15"/>
      <c r="C215" s="18">
        <v>25</v>
      </c>
      <c r="D215" s="16"/>
      <c r="E215" s="17">
        <v>1731.27</v>
      </c>
      <c r="F215" s="17"/>
      <c r="G215" s="17">
        <v>0</v>
      </c>
      <c r="H215" s="16"/>
      <c r="I215" s="17"/>
      <c r="J215" s="17"/>
      <c r="K215" s="17"/>
      <c r="L215" s="17"/>
      <c r="M215" s="22"/>
      <c r="N215" s="17"/>
      <c r="O215" s="22"/>
      <c r="P215" s="19">
        <f t="shared" si="33"/>
        <v>0</v>
      </c>
    </row>
    <row r="216" ht="12" customHeight="1" spans="1:16">
      <c r="A216" s="14">
        <v>104</v>
      </c>
      <c r="B216" s="15" t="s">
        <v>119</v>
      </c>
      <c r="C216" s="18"/>
      <c r="D216" s="16">
        <v>71.64</v>
      </c>
      <c r="E216" s="17"/>
      <c r="F216" s="17">
        <v>0</v>
      </c>
      <c r="G216" s="17"/>
      <c r="H216" s="16"/>
      <c r="I216" s="17"/>
      <c r="J216" s="17"/>
      <c r="K216" s="17"/>
      <c r="L216" s="17"/>
      <c r="M216" s="22"/>
      <c r="N216" s="17"/>
      <c r="O216" s="22"/>
      <c r="P216" s="19"/>
    </row>
    <row r="217" ht="12" customHeight="1" spans="1:16">
      <c r="A217" s="14"/>
      <c r="B217" s="15"/>
      <c r="C217" s="18">
        <v>25</v>
      </c>
      <c r="D217" s="16"/>
      <c r="E217" s="17">
        <v>1810.49</v>
      </c>
      <c r="F217" s="17"/>
      <c r="G217" s="17">
        <v>0</v>
      </c>
      <c r="H217" s="16"/>
      <c r="I217" s="17"/>
      <c r="J217" s="17"/>
      <c r="K217" s="17"/>
      <c r="L217" s="17"/>
      <c r="M217" s="22"/>
      <c r="N217" s="17"/>
      <c r="O217" s="22"/>
      <c r="P217" s="19">
        <f t="shared" ref="P217:P221" si="34">I217+K217-M217-O217</f>
        <v>0</v>
      </c>
    </row>
    <row r="218" ht="12" customHeight="1" spans="1:16">
      <c r="A218" s="14">
        <v>105</v>
      </c>
      <c r="B218" s="15" t="s">
        <v>120</v>
      </c>
      <c r="C218" s="18"/>
      <c r="D218" s="16">
        <v>73.2</v>
      </c>
      <c r="E218" s="17"/>
      <c r="F218" s="17">
        <v>0</v>
      </c>
      <c r="G218" s="17"/>
      <c r="H218" s="16"/>
      <c r="I218" s="17"/>
      <c r="J218" s="17"/>
      <c r="K218" s="17"/>
      <c r="L218" s="17"/>
      <c r="M218" s="22"/>
      <c r="N218" s="17"/>
      <c r="O218" s="22"/>
      <c r="P218" s="19"/>
    </row>
    <row r="219" ht="12" customHeight="1" spans="1:16">
      <c r="A219" s="14"/>
      <c r="B219" s="15"/>
      <c r="C219" s="18">
        <v>25</v>
      </c>
      <c r="D219" s="16"/>
      <c r="E219" s="17">
        <v>1853.68</v>
      </c>
      <c r="F219" s="17"/>
      <c r="G219" s="17">
        <v>0</v>
      </c>
      <c r="H219" s="16"/>
      <c r="I219" s="17"/>
      <c r="J219" s="17"/>
      <c r="K219" s="17"/>
      <c r="L219" s="17"/>
      <c r="M219" s="22"/>
      <c r="N219" s="17"/>
      <c r="O219" s="22"/>
      <c r="P219" s="19">
        <f t="shared" si="34"/>
        <v>0</v>
      </c>
    </row>
    <row r="220" ht="12" customHeight="1" spans="1:16">
      <c r="A220" s="14">
        <v>106</v>
      </c>
      <c r="B220" s="15" t="s">
        <v>121</v>
      </c>
      <c r="C220" s="18"/>
      <c r="D220" s="16">
        <v>75.1</v>
      </c>
      <c r="E220" s="17"/>
      <c r="F220" s="17">
        <v>0</v>
      </c>
      <c r="G220" s="17"/>
      <c r="H220" s="16"/>
      <c r="I220" s="17"/>
      <c r="J220" s="17"/>
      <c r="K220" s="17"/>
      <c r="L220" s="17"/>
      <c r="M220" s="22"/>
      <c r="N220" s="17"/>
      <c r="O220" s="22"/>
      <c r="P220" s="19"/>
    </row>
    <row r="221" ht="12" customHeight="1" spans="1:16">
      <c r="A221" s="14"/>
      <c r="B221" s="15"/>
      <c r="C221" s="18">
        <v>25</v>
      </c>
      <c r="D221" s="16"/>
      <c r="E221" s="17">
        <v>1796.9</v>
      </c>
      <c r="F221" s="17"/>
      <c r="G221" s="17">
        <v>0</v>
      </c>
      <c r="H221" s="16"/>
      <c r="I221" s="17"/>
      <c r="J221" s="17"/>
      <c r="K221" s="17"/>
      <c r="L221" s="17"/>
      <c r="M221" s="22"/>
      <c r="N221" s="17"/>
      <c r="O221" s="22"/>
      <c r="P221" s="19">
        <f t="shared" si="34"/>
        <v>0</v>
      </c>
    </row>
    <row r="222" ht="12" customHeight="1" spans="1:16">
      <c r="A222" s="14">
        <v>107</v>
      </c>
      <c r="B222" s="15" t="s">
        <v>122</v>
      </c>
      <c r="C222" s="18"/>
      <c r="D222" s="16">
        <v>68.66</v>
      </c>
      <c r="E222" s="17"/>
      <c r="F222" s="17">
        <v>0</v>
      </c>
      <c r="G222" s="17"/>
      <c r="H222" s="16"/>
      <c r="I222" s="17"/>
      <c r="J222" s="17"/>
      <c r="K222" s="17"/>
      <c r="L222" s="17"/>
      <c r="M222" s="22"/>
      <c r="N222" s="17"/>
      <c r="O222" s="22"/>
      <c r="P222" s="19"/>
    </row>
    <row r="223" ht="12" customHeight="1" spans="1:16">
      <c r="A223" s="14"/>
      <c r="B223" s="15"/>
      <c r="C223" s="18">
        <v>25</v>
      </c>
      <c r="D223" s="16"/>
      <c r="E223" s="17">
        <v>1682.06</v>
      </c>
      <c r="F223" s="17"/>
      <c r="G223" s="17">
        <v>0</v>
      </c>
      <c r="H223" s="16"/>
      <c r="I223" s="17"/>
      <c r="J223" s="17"/>
      <c r="K223" s="17"/>
      <c r="L223" s="17"/>
      <c r="M223" s="22"/>
      <c r="N223" s="17"/>
      <c r="O223" s="22"/>
      <c r="P223" s="19">
        <f t="shared" ref="P223:P227" si="35">I223+K223-M223-O223</f>
        <v>0</v>
      </c>
    </row>
    <row r="224" ht="12" customHeight="1" spans="1:16">
      <c r="A224" s="14">
        <v>108</v>
      </c>
      <c r="B224" s="15" t="s">
        <v>123</v>
      </c>
      <c r="C224" s="18"/>
      <c r="D224" s="16">
        <v>65.91</v>
      </c>
      <c r="E224" s="17"/>
      <c r="F224" s="17">
        <v>0</v>
      </c>
      <c r="G224" s="17"/>
      <c r="H224" s="16"/>
      <c r="I224" s="17"/>
      <c r="J224" s="17"/>
      <c r="K224" s="17"/>
      <c r="L224" s="17"/>
      <c r="M224" s="22"/>
      <c r="N224" s="17"/>
      <c r="O224" s="22"/>
      <c r="P224" s="19"/>
    </row>
    <row r="225" ht="12" customHeight="1" spans="1:16">
      <c r="A225" s="14"/>
      <c r="B225" s="15"/>
      <c r="C225" s="18">
        <v>25</v>
      </c>
      <c r="D225" s="16"/>
      <c r="E225" s="17">
        <v>823.85</v>
      </c>
      <c r="F225" s="17"/>
      <c r="G225" s="17">
        <v>0</v>
      </c>
      <c r="H225" s="16"/>
      <c r="I225" s="17"/>
      <c r="J225" s="17"/>
      <c r="K225" s="17"/>
      <c r="L225" s="17"/>
      <c r="M225" s="22"/>
      <c r="N225" s="17"/>
      <c r="O225" s="22"/>
      <c r="P225" s="19">
        <f t="shared" si="35"/>
        <v>0</v>
      </c>
    </row>
    <row r="226" ht="12" customHeight="1" spans="1:16">
      <c r="A226" s="14">
        <v>109</v>
      </c>
      <c r="B226" s="15" t="s">
        <v>124</v>
      </c>
      <c r="C226" s="18"/>
      <c r="D226" s="16">
        <v>0</v>
      </c>
      <c r="E226" s="17"/>
      <c r="F226" s="17">
        <v>0</v>
      </c>
      <c r="G226" s="17"/>
      <c r="H226" s="16"/>
      <c r="I226" s="17"/>
      <c r="J226" s="17"/>
      <c r="K226" s="17"/>
      <c r="L226" s="17"/>
      <c r="M226" s="22"/>
      <c r="N226" s="17"/>
      <c r="O226" s="22"/>
      <c r="P226" s="19"/>
    </row>
    <row r="227" ht="12" customHeight="1" spans="1:16">
      <c r="A227" s="14"/>
      <c r="B227" s="15"/>
      <c r="C227" s="18">
        <v>25</v>
      </c>
      <c r="D227" s="16"/>
      <c r="E227" s="17">
        <v>0</v>
      </c>
      <c r="F227" s="17"/>
      <c r="G227" s="17">
        <v>0</v>
      </c>
      <c r="H227" s="16"/>
      <c r="I227" s="17"/>
      <c r="J227" s="17"/>
      <c r="K227" s="17"/>
      <c r="L227" s="17"/>
      <c r="M227" s="22"/>
      <c r="N227" s="17"/>
      <c r="O227" s="22"/>
      <c r="P227" s="19">
        <f t="shared" si="35"/>
        <v>0</v>
      </c>
    </row>
    <row r="228" ht="12" customHeight="1" spans="1:16">
      <c r="A228" s="14">
        <v>110</v>
      </c>
      <c r="B228" s="15" t="s">
        <v>125</v>
      </c>
      <c r="C228" s="18"/>
      <c r="D228" s="16">
        <v>0</v>
      </c>
      <c r="E228" s="17"/>
      <c r="F228" s="17">
        <v>0</v>
      </c>
      <c r="G228" s="17"/>
      <c r="H228" s="16"/>
      <c r="I228" s="17"/>
      <c r="J228" s="17"/>
      <c r="K228" s="17"/>
      <c r="L228" s="17"/>
      <c r="M228" s="22"/>
      <c r="N228" s="17"/>
      <c r="O228" s="22"/>
      <c r="P228" s="19"/>
    </row>
    <row r="229" ht="12" customHeight="1" spans="1:16">
      <c r="A229" s="14"/>
      <c r="B229" s="15"/>
      <c r="C229" s="18">
        <v>25</v>
      </c>
      <c r="D229" s="16"/>
      <c r="E229" s="17">
        <v>0</v>
      </c>
      <c r="F229" s="17"/>
      <c r="G229" s="17">
        <v>0</v>
      </c>
      <c r="H229" s="16"/>
      <c r="I229" s="17"/>
      <c r="J229" s="17"/>
      <c r="K229" s="17"/>
      <c r="L229" s="17"/>
      <c r="M229" s="22"/>
      <c r="N229" s="17"/>
      <c r="O229" s="22"/>
      <c r="P229" s="19">
        <f t="shared" ref="P229:P233" si="36">I229+K229-M229-O229</f>
        <v>0</v>
      </c>
    </row>
    <row r="230" ht="12" customHeight="1" spans="1:16">
      <c r="A230" s="14">
        <v>111</v>
      </c>
      <c r="B230" s="15" t="s">
        <v>126</v>
      </c>
      <c r="C230" s="18"/>
      <c r="D230" s="16">
        <v>0</v>
      </c>
      <c r="E230" s="17"/>
      <c r="F230" s="17">
        <v>0</v>
      </c>
      <c r="G230" s="17"/>
      <c r="H230" s="16"/>
      <c r="I230" s="17"/>
      <c r="J230" s="17"/>
      <c r="K230" s="17"/>
      <c r="L230" s="17"/>
      <c r="M230" s="22"/>
      <c r="N230" s="17"/>
      <c r="O230" s="22"/>
      <c r="P230" s="19"/>
    </row>
    <row r="231" ht="12" customHeight="1" spans="1:16">
      <c r="A231" s="14"/>
      <c r="B231" s="15"/>
      <c r="C231" s="18">
        <v>25</v>
      </c>
      <c r="D231" s="16"/>
      <c r="E231" s="17">
        <v>841.92</v>
      </c>
      <c r="F231" s="17"/>
      <c r="G231" s="17">
        <v>64.21</v>
      </c>
      <c r="H231" s="16"/>
      <c r="I231" s="17"/>
      <c r="J231" s="17"/>
      <c r="K231" s="17"/>
      <c r="L231" s="17"/>
      <c r="M231" s="22"/>
      <c r="N231" s="17"/>
      <c r="O231" s="22"/>
      <c r="P231" s="19">
        <f t="shared" si="36"/>
        <v>0</v>
      </c>
    </row>
    <row r="232" ht="12" customHeight="1" spans="1:16">
      <c r="A232" s="14">
        <v>112</v>
      </c>
      <c r="B232" s="15" t="s">
        <v>127</v>
      </c>
      <c r="C232" s="18"/>
      <c r="D232" s="16">
        <v>67.35</v>
      </c>
      <c r="E232" s="17"/>
      <c r="F232" s="17">
        <v>5.14</v>
      </c>
      <c r="G232" s="17"/>
      <c r="H232" s="16"/>
      <c r="I232" s="17"/>
      <c r="J232" s="17"/>
      <c r="K232" s="17"/>
      <c r="L232" s="17"/>
      <c r="M232" s="22"/>
      <c r="N232" s="17"/>
      <c r="O232" s="22"/>
      <c r="P232" s="19"/>
    </row>
    <row r="233" ht="12" customHeight="1" spans="1:16">
      <c r="A233" s="14"/>
      <c r="B233" s="15"/>
      <c r="C233" s="18">
        <v>25</v>
      </c>
      <c r="D233" s="16"/>
      <c r="E233" s="17">
        <v>2861.09</v>
      </c>
      <c r="F233" s="17"/>
      <c r="G233" s="17">
        <v>267.14</v>
      </c>
      <c r="H233" s="16"/>
      <c r="I233" s="17"/>
      <c r="J233" s="17"/>
      <c r="K233" s="17"/>
      <c r="L233" s="17"/>
      <c r="M233" s="22"/>
      <c r="N233" s="17"/>
      <c r="O233" s="22"/>
      <c r="P233" s="19">
        <f t="shared" si="36"/>
        <v>0</v>
      </c>
    </row>
    <row r="234" ht="12" customHeight="1" spans="1:16">
      <c r="A234" s="14">
        <v>113</v>
      </c>
      <c r="B234" s="15" t="s">
        <v>128</v>
      </c>
      <c r="C234" s="18"/>
      <c r="D234" s="16">
        <v>161.53</v>
      </c>
      <c r="E234" s="17"/>
      <c r="F234" s="17">
        <v>16.23</v>
      </c>
      <c r="G234" s="17"/>
      <c r="H234" s="16"/>
      <c r="I234" s="17"/>
      <c r="J234" s="17"/>
      <c r="K234" s="17"/>
      <c r="L234" s="17"/>
      <c r="M234" s="22"/>
      <c r="N234" s="17"/>
      <c r="O234" s="22"/>
      <c r="P234" s="19"/>
    </row>
    <row r="235" ht="12" customHeight="1" spans="1:16">
      <c r="A235" s="14"/>
      <c r="B235" s="15"/>
      <c r="C235" s="18">
        <v>25</v>
      </c>
      <c r="D235" s="16"/>
      <c r="E235" s="17">
        <v>4496.69</v>
      </c>
      <c r="F235" s="17"/>
      <c r="G235" s="17">
        <v>454.69</v>
      </c>
      <c r="H235" s="16"/>
      <c r="I235" s="17"/>
      <c r="J235" s="17"/>
      <c r="K235" s="17"/>
      <c r="L235" s="17"/>
      <c r="M235" s="22"/>
      <c r="N235" s="17"/>
      <c r="O235" s="22"/>
      <c r="P235" s="19">
        <f t="shared" ref="P235:P239" si="37">I235+K235-M235-O235</f>
        <v>0</v>
      </c>
    </row>
    <row r="236" ht="12" customHeight="1" spans="1:16">
      <c r="A236" s="14">
        <v>114</v>
      </c>
      <c r="B236" s="15" t="s">
        <v>129</v>
      </c>
      <c r="C236" s="18"/>
      <c r="D236" s="16">
        <v>198.2</v>
      </c>
      <c r="E236" s="17"/>
      <c r="F236" s="17">
        <v>20.14</v>
      </c>
      <c r="G236" s="17"/>
      <c r="H236" s="16"/>
      <c r="I236" s="17"/>
      <c r="J236" s="17"/>
      <c r="K236" s="17"/>
      <c r="L236" s="17"/>
      <c r="M236" s="22"/>
      <c r="N236" s="17"/>
      <c r="O236" s="22"/>
      <c r="P236" s="19"/>
    </row>
    <row r="237" ht="12" customHeight="1" spans="1:16">
      <c r="A237" s="14"/>
      <c r="B237" s="15"/>
      <c r="C237" s="18">
        <v>25</v>
      </c>
      <c r="D237" s="16"/>
      <c r="E237" s="17">
        <v>4953.5</v>
      </c>
      <c r="F237" s="17"/>
      <c r="G237" s="17">
        <v>513.75</v>
      </c>
      <c r="H237" s="16"/>
      <c r="I237" s="17"/>
      <c r="J237" s="17"/>
      <c r="K237" s="17"/>
      <c r="L237" s="17"/>
      <c r="M237" s="22"/>
      <c r="N237" s="17"/>
      <c r="O237" s="22"/>
      <c r="P237" s="19">
        <f t="shared" si="37"/>
        <v>0</v>
      </c>
    </row>
    <row r="238" ht="12" customHeight="1" spans="1:16">
      <c r="A238" s="14">
        <v>115</v>
      </c>
      <c r="B238" s="15" t="s">
        <v>130</v>
      </c>
      <c r="C238" s="18"/>
      <c r="D238" s="16">
        <v>198.08</v>
      </c>
      <c r="E238" s="17"/>
      <c r="F238" s="17">
        <v>20.96</v>
      </c>
      <c r="G238" s="17"/>
      <c r="H238" s="16"/>
      <c r="I238" s="17"/>
      <c r="J238" s="17"/>
      <c r="K238" s="17"/>
      <c r="L238" s="17"/>
      <c r="M238" s="22"/>
      <c r="N238" s="17"/>
      <c r="O238" s="22"/>
      <c r="P238" s="19"/>
    </row>
    <row r="239" ht="12" customHeight="1" spans="1:16">
      <c r="A239" s="14"/>
      <c r="B239" s="15"/>
      <c r="C239" s="18">
        <v>25</v>
      </c>
      <c r="D239" s="16"/>
      <c r="E239" s="17">
        <v>5053.63</v>
      </c>
      <c r="F239" s="17"/>
      <c r="G239" s="17">
        <v>527.97</v>
      </c>
      <c r="H239" s="16"/>
      <c r="I239" s="17"/>
      <c r="J239" s="17"/>
      <c r="K239" s="17"/>
      <c r="L239" s="17"/>
      <c r="M239" s="22"/>
      <c r="N239" s="17"/>
      <c r="O239" s="22"/>
      <c r="P239" s="19">
        <f t="shared" si="37"/>
        <v>0</v>
      </c>
    </row>
    <row r="240" ht="12" customHeight="1" spans="1:16">
      <c r="A240" s="14">
        <v>116</v>
      </c>
      <c r="B240" s="15" t="s">
        <v>131</v>
      </c>
      <c r="C240" s="18"/>
      <c r="D240" s="16">
        <v>206.21</v>
      </c>
      <c r="E240" s="17"/>
      <c r="F240" s="17">
        <v>21.28</v>
      </c>
      <c r="G240" s="17"/>
      <c r="H240" s="16"/>
      <c r="I240" s="17"/>
      <c r="J240" s="17"/>
      <c r="K240" s="17"/>
      <c r="L240" s="17"/>
      <c r="M240" s="22"/>
      <c r="N240" s="17"/>
      <c r="O240" s="22"/>
      <c r="P240" s="19"/>
    </row>
    <row r="241" ht="12" customHeight="1" spans="1:16">
      <c r="A241" s="14"/>
      <c r="B241" s="15"/>
      <c r="C241" s="18">
        <v>25</v>
      </c>
      <c r="D241" s="16"/>
      <c r="E241" s="17">
        <v>5032.91</v>
      </c>
      <c r="F241" s="17"/>
      <c r="G241" s="17">
        <v>533.06</v>
      </c>
      <c r="H241" s="16"/>
      <c r="I241" s="17"/>
      <c r="J241" s="17"/>
      <c r="K241" s="17"/>
      <c r="L241" s="17"/>
      <c r="M241" s="22"/>
      <c r="N241" s="17"/>
      <c r="O241" s="22"/>
      <c r="P241" s="19">
        <f t="shared" ref="P241:P245" si="38">I241+K241-M241-O241</f>
        <v>0</v>
      </c>
    </row>
    <row r="242" ht="12" customHeight="1" spans="1:16">
      <c r="A242" s="14">
        <v>117</v>
      </c>
      <c r="B242" s="15" t="s">
        <v>132</v>
      </c>
      <c r="C242" s="18"/>
      <c r="D242" s="16">
        <v>196.42</v>
      </c>
      <c r="E242" s="17"/>
      <c r="F242" s="17">
        <v>21.37</v>
      </c>
      <c r="G242" s="17"/>
      <c r="H242" s="16"/>
      <c r="I242" s="17"/>
      <c r="J242" s="17"/>
      <c r="K242" s="17"/>
      <c r="L242" s="17"/>
      <c r="M242" s="22"/>
      <c r="N242" s="17"/>
      <c r="O242" s="22"/>
      <c r="P242" s="19"/>
    </row>
    <row r="243" ht="12" customHeight="1" spans="1:16">
      <c r="A243" s="14"/>
      <c r="B243" s="15"/>
      <c r="C243" s="18">
        <v>25</v>
      </c>
      <c r="D243" s="16"/>
      <c r="E243" s="17">
        <v>5451.84</v>
      </c>
      <c r="F243" s="17"/>
      <c r="G243" s="17">
        <v>636.05</v>
      </c>
      <c r="H243" s="16"/>
      <c r="I243" s="17"/>
      <c r="J243" s="17"/>
      <c r="K243" s="17"/>
      <c r="L243" s="17"/>
      <c r="M243" s="22"/>
      <c r="N243" s="17"/>
      <c r="O243" s="22"/>
      <c r="P243" s="19">
        <f t="shared" si="38"/>
        <v>0</v>
      </c>
    </row>
    <row r="244" ht="12" customHeight="1" spans="1:16">
      <c r="A244" s="14">
        <v>118</v>
      </c>
      <c r="B244" s="15" t="s">
        <v>133</v>
      </c>
      <c r="C244" s="18"/>
      <c r="D244" s="16">
        <v>239.73</v>
      </c>
      <c r="E244" s="17"/>
      <c r="F244" s="17">
        <v>29.52</v>
      </c>
      <c r="G244" s="17"/>
      <c r="H244" s="16"/>
      <c r="I244" s="17"/>
      <c r="J244" s="17"/>
      <c r="K244" s="17"/>
      <c r="L244" s="17"/>
      <c r="M244" s="22"/>
      <c r="N244" s="17"/>
      <c r="O244" s="22"/>
      <c r="P244" s="19"/>
    </row>
    <row r="245" ht="12" customHeight="1" spans="1:16">
      <c r="A245" s="14"/>
      <c r="B245" s="15"/>
      <c r="C245" s="18">
        <v>25</v>
      </c>
      <c r="D245" s="16"/>
      <c r="E245" s="17">
        <v>7480.73</v>
      </c>
      <c r="F245" s="17"/>
      <c r="G245" s="17">
        <v>851.76</v>
      </c>
      <c r="H245" s="16"/>
      <c r="I245" s="17"/>
      <c r="J245" s="17"/>
      <c r="K245" s="17"/>
      <c r="L245" s="17"/>
      <c r="M245" s="22"/>
      <c r="N245" s="17"/>
      <c r="O245" s="22"/>
      <c r="P245" s="19">
        <f t="shared" si="38"/>
        <v>0</v>
      </c>
    </row>
    <row r="246" ht="12" customHeight="1" spans="1:16">
      <c r="A246" s="14">
        <v>119</v>
      </c>
      <c r="B246" s="15" t="s">
        <v>134</v>
      </c>
      <c r="C246" s="18"/>
      <c r="D246" s="16">
        <v>358.73</v>
      </c>
      <c r="E246" s="17"/>
      <c r="F246" s="17">
        <v>38.62</v>
      </c>
      <c r="G246" s="17"/>
      <c r="H246" s="16"/>
      <c r="I246" s="17"/>
      <c r="J246" s="17"/>
      <c r="K246" s="17"/>
      <c r="L246" s="17"/>
      <c r="M246" s="22"/>
      <c r="N246" s="17"/>
      <c r="O246" s="22"/>
      <c r="P246" s="19"/>
    </row>
    <row r="247" ht="12" customHeight="1" spans="1:16">
      <c r="A247" s="14"/>
      <c r="B247" s="15"/>
      <c r="C247" s="18">
        <v>25</v>
      </c>
      <c r="D247" s="16"/>
      <c r="E247" s="17">
        <v>9559.71</v>
      </c>
      <c r="F247" s="17"/>
      <c r="G247" s="17">
        <v>1073.1</v>
      </c>
      <c r="H247" s="16"/>
      <c r="I247" s="17"/>
      <c r="J247" s="17"/>
      <c r="K247" s="17"/>
      <c r="L247" s="17"/>
      <c r="M247" s="22"/>
      <c r="N247" s="17"/>
      <c r="O247" s="22"/>
      <c r="P247" s="19">
        <f t="shared" ref="P247:P251" si="39">I247+K247-M247-O247</f>
        <v>0</v>
      </c>
    </row>
    <row r="248" ht="12" customHeight="1" spans="1:16">
      <c r="A248" s="14">
        <v>120</v>
      </c>
      <c r="B248" s="15" t="s">
        <v>135</v>
      </c>
      <c r="C248" s="18"/>
      <c r="D248" s="16">
        <v>406.04</v>
      </c>
      <c r="E248" s="17"/>
      <c r="F248" s="17">
        <v>47.22</v>
      </c>
      <c r="G248" s="17"/>
      <c r="H248" s="16"/>
      <c r="I248" s="17"/>
      <c r="J248" s="17"/>
      <c r="K248" s="17"/>
      <c r="L248" s="17"/>
      <c r="M248" s="22"/>
      <c r="N248" s="17"/>
      <c r="O248" s="22"/>
      <c r="P248" s="19"/>
    </row>
    <row r="249" ht="12" customHeight="1" spans="1:16">
      <c r="A249" s="14"/>
      <c r="B249" s="15"/>
      <c r="C249" s="18">
        <v>25</v>
      </c>
      <c r="D249" s="16"/>
      <c r="E249" s="17">
        <v>8307.18</v>
      </c>
      <c r="F249" s="17"/>
      <c r="G249" s="17">
        <v>905.81</v>
      </c>
      <c r="H249" s="16"/>
      <c r="I249" s="17"/>
      <c r="J249" s="17"/>
      <c r="K249" s="17"/>
      <c r="L249" s="17"/>
      <c r="M249" s="22"/>
      <c r="N249" s="17"/>
      <c r="O249" s="22"/>
      <c r="P249" s="19">
        <f t="shared" si="39"/>
        <v>0</v>
      </c>
    </row>
    <row r="250" ht="12" customHeight="1" spans="1:16">
      <c r="A250" s="14">
        <v>121</v>
      </c>
      <c r="B250" s="15" t="s">
        <v>136</v>
      </c>
      <c r="C250" s="18"/>
      <c r="D250" s="16">
        <v>258.53</v>
      </c>
      <c r="E250" s="17"/>
      <c r="F250" s="17">
        <v>25.24</v>
      </c>
      <c r="G250" s="17"/>
      <c r="H250" s="16"/>
      <c r="I250" s="17"/>
      <c r="J250" s="17"/>
      <c r="K250" s="17"/>
      <c r="L250" s="17"/>
      <c r="M250" s="22"/>
      <c r="N250" s="17"/>
      <c r="O250" s="22"/>
      <c r="P250" s="19"/>
    </row>
    <row r="251" ht="12" customHeight="1" spans="1:16">
      <c r="A251" s="14"/>
      <c r="B251" s="15"/>
      <c r="C251" s="18">
        <v>25</v>
      </c>
      <c r="D251" s="16"/>
      <c r="E251" s="17">
        <v>3724.13</v>
      </c>
      <c r="F251" s="17"/>
      <c r="G251" s="17">
        <v>355.75</v>
      </c>
      <c r="H251" s="16"/>
      <c r="I251" s="17"/>
      <c r="J251" s="17"/>
      <c r="K251" s="17"/>
      <c r="L251" s="17"/>
      <c r="M251" s="22"/>
      <c r="N251" s="17"/>
      <c r="O251" s="22"/>
      <c r="P251" s="19">
        <f t="shared" si="39"/>
        <v>0</v>
      </c>
    </row>
    <row r="252" ht="12" customHeight="1" spans="1:16">
      <c r="A252" s="14">
        <v>122</v>
      </c>
      <c r="B252" s="15" t="s">
        <v>137</v>
      </c>
      <c r="C252" s="18"/>
      <c r="D252" s="16">
        <v>39.4</v>
      </c>
      <c r="E252" s="17"/>
      <c r="F252" s="17">
        <v>3.22</v>
      </c>
      <c r="G252" s="17"/>
      <c r="H252" s="16"/>
      <c r="I252" s="17"/>
      <c r="J252" s="17"/>
      <c r="K252" s="17"/>
      <c r="L252" s="17"/>
      <c r="M252" s="22"/>
      <c r="N252" s="17"/>
      <c r="O252" s="22"/>
      <c r="P252" s="19"/>
    </row>
    <row r="253" ht="12" customHeight="1" spans="1:16">
      <c r="A253" s="14"/>
      <c r="B253" s="15"/>
      <c r="C253" s="18">
        <v>25</v>
      </c>
      <c r="D253" s="16"/>
      <c r="E253" s="17">
        <v>492.5</v>
      </c>
      <c r="F253" s="17"/>
      <c r="G253" s="17">
        <v>40.25</v>
      </c>
      <c r="H253" s="16"/>
      <c r="I253" s="17"/>
      <c r="J253" s="17"/>
      <c r="K253" s="17"/>
      <c r="L253" s="17"/>
      <c r="M253" s="22"/>
      <c r="N253" s="17"/>
      <c r="O253" s="22"/>
      <c r="P253" s="19">
        <f t="shared" ref="P253:P257" si="40">I253+K253-M253-O253</f>
        <v>0</v>
      </c>
    </row>
    <row r="254" ht="12" customHeight="1" spans="1:16">
      <c r="A254" s="14">
        <v>123</v>
      </c>
      <c r="B254" s="15" t="s">
        <v>138</v>
      </c>
      <c r="C254" s="18"/>
      <c r="D254" s="16">
        <v>0</v>
      </c>
      <c r="E254" s="17"/>
      <c r="F254" s="17">
        <v>0</v>
      </c>
      <c r="G254" s="17"/>
      <c r="H254" s="16"/>
      <c r="I254" s="17"/>
      <c r="J254" s="17"/>
      <c r="K254" s="17"/>
      <c r="L254" s="17"/>
      <c r="M254" s="22"/>
      <c r="N254" s="17"/>
      <c r="O254" s="22"/>
      <c r="P254" s="19"/>
    </row>
    <row r="255" ht="12" customHeight="1" spans="1:16">
      <c r="A255" s="14"/>
      <c r="B255" s="15"/>
      <c r="C255" s="18">
        <v>25</v>
      </c>
      <c r="D255" s="16"/>
      <c r="E255" s="17">
        <v>1074</v>
      </c>
      <c r="F255" s="17"/>
      <c r="G255" s="17">
        <v>0</v>
      </c>
      <c r="H255" s="16"/>
      <c r="I255" s="17"/>
      <c r="J255" s="17"/>
      <c r="K255" s="17"/>
      <c r="L255" s="17"/>
      <c r="M255" s="22"/>
      <c r="N255" s="17"/>
      <c r="O255" s="22"/>
      <c r="P255" s="19">
        <f t="shared" si="40"/>
        <v>0</v>
      </c>
    </row>
    <row r="256" ht="12" customHeight="1" spans="1:16">
      <c r="A256" s="14">
        <v>124</v>
      </c>
      <c r="B256" s="15" t="s">
        <v>139</v>
      </c>
      <c r="C256" s="18"/>
      <c r="D256" s="16">
        <v>85.92</v>
      </c>
      <c r="E256" s="17"/>
      <c r="F256" s="17">
        <v>0</v>
      </c>
      <c r="G256" s="17"/>
      <c r="H256" s="16"/>
      <c r="I256" s="17"/>
      <c r="J256" s="17"/>
      <c r="K256" s="17"/>
      <c r="L256" s="17"/>
      <c r="M256" s="22"/>
      <c r="N256" s="17"/>
      <c r="O256" s="22"/>
      <c r="P256" s="19"/>
    </row>
    <row r="257" ht="12" customHeight="1" spans="1:16">
      <c r="A257" s="14"/>
      <c r="B257" s="15"/>
      <c r="C257" s="18">
        <v>25</v>
      </c>
      <c r="D257" s="16"/>
      <c r="E257" s="17">
        <v>2413.88</v>
      </c>
      <c r="F257" s="17"/>
      <c r="G257" s="17">
        <v>0</v>
      </c>
      <c r="H257" s="16"/>
      <c r="I257" s="17"/>
      <c r="J257" s="17"/>
      <c r="K257" s="17"/>
      <c r="L257" s="17"/>
      <c r="M257" s="22"/>
      <c r="N257" s="17"/>
      <c r="O257" s="22"/>
      <c r="P257" s="19">
        <f t="shared" si="40"/>
        <v>0</v>
      </c>
    </row>
    <row r="258" ht="12" customHeight="1" spans="1:16">
      <c r="A258" s="14">
        <v>125</v>
      </c>
      <c r="B258" s="15" t="s">
        <v>140</v>
      </c>
      <c r="C258" s="18"/>
      <c r="D258" s="16">
        <v>107.19</v>
      </c>
      <c r="E258" s="17"/>
      <c r="F258" s="17">
        <v>0</v>
      </c>
      <c r="G258" s="17"/>
      <c r="H258" s="16"/>
      <c r="I258" s="17"/>
      <c r="J258" s="17"/>
      <c r="K258" s="17"/>
      <c r="L258" s="17"/>
      <c r="M258" s="22"/>
      <c r="N258" s="17"/>
      <c r="O258" s="22"/>
      <c r="P258" s="19"/>
    </row>
    <row r="259" ht="12" customHeight="1" spans="1:16">
      <c r="A259" s="14"/>
      <c r="B259" s="15"/>
      <c r="C259" s="18">
        <v>25</v>
      </c>
      <c r="D259" s="16"/>
      <c r="E259" s="17">
        <v>2724</v>
      </c>
      <c r="F259" s="17"/>
      <c r="G259" s="17">
        <v>0</v>
      </c>
      <c r="H259" s="16"/>
      <c r="I259" s="17"/>
      <c r="J259" s="17"/>
      <c r="K259" s="17"/>
      <c r="L259" s="17"/>
      <c r="M259" s="22"/>
      <c r="N259" s="17"/>
      <c r="O259" s="22"/>
      <c r="P259" s="19">
        <f t="shared" ref="P259:P263" si="41">I259+K259-M259-O259</f>
        <v>0</v>
      </c>
    </row>
    <row r="260" ht="12" customHeight="1" spans="1:16">
      <c r="A260" s="14">
        <v>126</v>
      </c>
      <c r="B260" s="15" t="s">
        <v>141</v>
      </c>
      <c r="C260" s="18"/>
      <c r="D260" s="16">
        <v>110.73</v>
      </c>
      <c r="E260" s="17"/>
      <c r="F260" s="17">
        <v>0</v>
      </c>
      <c r="G260" s="17"/>
      <c r="H260" s="16"/>
      <c r="I260" s="17"/>
      <c r="J260" s="17"/>
      <c r="K260" s="17"/>
      <c r="L260" s="17"/>
      <c r="M260" s="22"/>
      <c r="N260" s="17"/>
      <c r="O260" s="22"/>
      <c r="P260" s="19"/>
    </row>
    <row r="261" ht="12" customHeight="1" spans="1:16">
      <c r="A261" s="14"/>
      <c r="B261" s="15"/>
      <c r="C261" s="18">
        <v>25</v>
      </c>
      <c r="D261" s="16"/>
      <c r="E261" s="17">
        <v>2807</v>
      </c>
      <c r="F261" s="17"/>
      <c r="G261" s="17">
        <v>0</v>
      </c>
      <c r="H261" s="16"/>
      <c r="I261" s="17"/>
      <c r="J261" s="17"/>
      <c r="K261" s="17"/>
      <c r="L261" s="17"/>
      <c r="M261" s="22"/>
      <c r="N261" s="17"/>
      <c r="O261" s="22"/>
      <c r="P261" s="19">
        <f t="shared" si="41"/>
        <v>0</v>
      </c>
    </row>
    <row r="262" ht="12" customHeight="1" spans="1:16">
      <c r="A262" s="14">
        <v>127</v>
      </c>
      <c r="B262" s="15" t="s">
        <v>142</v>
      </c>
      <c r="C262" s="18"/>
      <c r="D262" s="16">
        <v>113.83</v>
      </c>
      <c r="E262" s="17"/>
      <c r="F262" s="17">
        <v>0</v>
      </c>
      <c r="G262" s="17"/>
      <c r="H262" s="16"/>
      <c r="I262" s="17"/>
      <c r="J262" s="17"/>
      <c r="K262" s="17"/>
      <c r="L262" s="17"/>
      <c r="M262" s="22"/>
      <c r="N262" s="17"/>
      <c r="O262" s="22"/>
      <c r="P262" s="19"/>
    </row>
    <row r="263" ht="12" customHeight="1" spans="1:16">
      <c r="A263" s="14"/>
      <c r="B263" s="15"/>
      <c r="C263" s="18">
        <v>25</v>
      </c>
      <c r="D263" s="16"/>
      <c r="E263" s="17">
        <v>3114.5</v>
      </c>
      <c r="F263" s="17"/>
      <c r="G263" s="17">
        <v>0</v>
      </c>
      <c r="H263" s="16"/>
      <c r="I263" s="17"/>
      <c r="J263" s="17"/>
      <c r="K263" s="17"/>
      <c r="L263" s="17"/>
      <c r="M263" s="22"/>
      <c r="N263" s="17"/>
      <c r="O263" s="22"/>
      <c r="P263" s="19">
        <f t="shared" si="41"/>
        <v>0</v>
      </c>
    </row>
    <row r="264" ht="12" customHeight="1" spans="1:16">
      <c r="A264" s="14">
        <v>128</v>
      </c>
      <c r="B264" s="15" t="s">
        <v>143</v>
      </c>
      <c r="C264" s="18"/>
      <c r="D264" s="16">
        <v>135.33</v>
      </c>
      <c r="E264" s="17"/>
      <c r="F264" s="17">
        <v>0</v>
      </c>
      <c r="G264" s="17"/>
      <c r="H264" s="16"/>
      <c r="I264" s="17"/>
      <c r="J264" s="17"/>
      <c r="K264" s="17"/>
      <c r="L264" s="17"/>
      <c r="M264" s="22"/>
      <c r="N264" s="17"/>
      <c r="O264" s="22"/>
      <c r="P264" s="19"/>
    </row>
    <row r="265" ht="12" customHeight="1" spans="1:16">
      <c r="A265" s="14"/>
      <c r="B265" s="15"/>
      <c r="C265" s="18">
        <v>25</v>
      </c>
      <c r="D265" s="16"/>
      <c r="E265" s="17">
        <v>3237</v>
      </c>
      <c r="F265" s="17"/>
      <c r="G265" s="17">
        <v>0</v>
      </c>
      <c r="H265" s="16"/>
      <c r="I265" s="17"/>
      <c r="J265" s="17"/>
      <c r="K265" s="17"/>
      <c r="L265" s="17"/>
      <c r="M265" s="22"/>
      <c r="N265" s="17"/>
      <c r="O265" s="22"/>
      <c r="P265" s="19">
        <f t="shared" ref="P265:P269" si="42">I265+K265-M265-O265</f>
        <v>0</v>
      </c>
    </row>
    <row r="266" ht="12" customHeight="1" spans="1:16">
      <c r="A266" s="14">
        <v>129</v>
      </c>
      <c r="B266" s="15" t="s">
        <v>144</v>
      </c>
      <c r="C266" s="18"/>
      <c r="D266" s="16">
        <v>123.63</v>
      </c>
      <c r="E266" s="17"/>
      <c r="F266" s="17">
        <v>0</v>
      </c>
      <c r="G266" s="17"/>
      <c r="H266" s="16"/>
      <c r="I266" s="17"/>
      <c r="J266" s="17"/>
      <c r="K266" s="17"/>
      <c r="L266" s="17"/>
      <c r="M266" s="22"/>
      <c r="N266" s="17"/>
      <c r="O266" s="22"/>
      <c r="P266" s="19"/>
    </row>
    <row r="267" ht="12" customHeight="1" spans="1:16">
      <c r="A267" s="14"/>
      <c r="B267" s="15"/>
      <c r="C267" s="18">
        <v>25</v>
      </c>
      <c r="D267" s="16"/>
      <c r="E267" s="17">
        <v>4258.88</v>
      </c>
      <c r="F267" s="17"/>
      <c r="G267" s="17">
        <v>83.63</v>
      </c>
      <c r="H267" s="16"/>
      <c r="I267" s="17"/>
      <c r="J267" s="17"/>
      <c r="K267" s="17"/>
      <c r="L267" s="17"/>
      <c r="M267" s="22"/>
      <c r="N267" s="17"/>
      <c r="O267" s="22"/>
      <c r="P267" s="19">
        <f t="shared" si="42"/>
        <v>0</v>
      </c>
    </row>
    <row r="268" ht="12" customHeight="1" spans="1:16">
      <c r="A268" s="14">
        <v>130</v>
      </c>
      <c r="B268" s="15" t="s">
        <v>145</v>
      </c>
      <c r="C268" s="18"/>
      <c r="D268" s="16">
        <v>217.08</v>
      </c>
      <c r="E268" s="17"/>
      <c r="F268" s="17">
        <v>6.69</v>
      </c>
      <c r="G268" s="17"/>
      <c r="H268" s="16"/>
      <c r="I268" s="17"/>
      <c r="J268" s="17"/>
      <c r="K268" s="17"/>
      <c r="L268" s="17"/>
      <c r="M268" s="22"/>
      <c r="N268" s="17"/>
      <c r="O268" s="22"/>
      <c r="P268" s="19"/>
    </row>
    <row r="269" ht="12" customHeight="1" spans="1:16">
      <c r="A269" s="14"/>
      <c r="B269" s="15"/>
      <c r="C269" s="18">
        <v>25</v>
      </c>
      <c r="D269" s="16"/>
      <c r="E269" s="17">
        <v>4357.25</v>
      </c>
      <c r="F269" s="17"/>
      <c r="G269" s="17">
        <v>245.13</v>
      </c>
      <c r="H269" s="16"/>
      <c r="I269" s="17"/>
      <c r="J269" s="17"/>
      <c r="K269" s="17"/>
      <c r="L269" s="17"/>
      <c r="M269" s="22"/>
      <c r="N269" s="17"/>
      <c r="O269" s="22"/>
      <c r="P269" s="19">
        <f t="shared" si="42"/>
        <v>0</v>
      </c>
    </row>
    <row r="270" ht="12" customHeight="1" spans="1:16">
      <c r="A270" s="14">
        <v>131</v>
      </c>
      <c r="B270" s="15" t="s">
        <v>146</v>
      </c>
      <c r="C270" s="18"/>
      <c r="D270" s="16">
        <v>131.5</v>
      </c>
      <c r="E270" s="17"/>
      <c r="F270" s="17">
        <v>12.92</v>
      </c>
      <c r="G270" s="17"/>
      <c r="H270" s="16"/>
      <c r="I270" s="17"/>
      <c r="J270" s="17"/>
      <c r="K270" s="17"/>
      <c r="L270" s="17"/>
      <c r="M270" s="22"/>
      <c r="N270" s="17"/>
      <c r="O270" s="22"/>
      <c r="P270" s="19"/>
    </row>
    <row r="271" ht="12" customHeight="1" spans="1:16">
      <c r="A271" s="14"/>
      <c r="B271" s="15"/>
      <c r="C271" s="18">
        <v>25</v>
      </c>
      <c r="D271" s="16"/>
      <c r="E271" s="17">
        <v>3816.38</v>
      </c>
      <c r="F271" s="17"/>
      <c r="G271" s="17">
        <v>404.88</v>
      </c>
      <c r="H271" s="16"/>
      <c r="I271" s="17"/>
      <c r="J271" s="17"/>
      <c r="K271" s="17"/>
      <c r="L271" s="17"/>
      <c r="M271" s="22"/>
      <c r="N271" s="17"/>
      <c r="O271" s="22"/>
      <c r="P271" s="19">
        <f t="shared" ref="P271:P275" si="43">I271+K271-M271-O271</f>
        <v>0</v>
      </c>
    </row>
    <row r="272" ht="12" customHeight="1" spans="1:16">
      <c r="A272" s="14">
        <v>132</v>
      </c>
      <c r="B272" s="15" t="s">
        <v>147</v>
      </c>
      <c r="C272" s="18"/>
      <c r="D272" s="16">
        <v>173.81</v>
      </c>
      <c r="E272" s="17"/>
      <c r="F272" s="17">
        <v>19.47</v>
      </c>
      <c r="G272" s="17"/>
      <c r="H272" s="16"/>
      <c r="I272" s="17"/>
      <c r="J272" s="17"/>
      <c r="K272" s="17"/>
      <c r="L272" s="17"/>
      <c r="M272" s="22"/>
      <c r="N272" s="17"/>
      <c r="O272" s="22"/>
      <c r="P272" s="19"/>
    </row>
    <row r="273" ht="12" customHeight="1" spans="1:16">
      <c r="A273" s="14"/>
      <c r="B273" s="15"/>
      <c r="C273" s="18">
        <v>25</v>
      </c>
      <c r="D273" s="16"/>
      <c r="E273" s="17">
        <v>4554</v>
      </c>
      <c r="F273" s="17"/>
      <c r="G273" s="17">
        <v>481.13</v>
      </c>
      <c r="H273" s="16"/>
      <c r="I273" s="17"/>
      <c r="J273" s="17"/>
      <c r="K273" s="17"/>
      <c r="L273" s="17"/>
      <c r="M273" s="22"/>
      <c r="N273" s="17"/>
      <c r="O273" s="22"/>
      <c r="P273" s="19">
        <f t="shared" si="43"/>
        <v>0</v>
      </c>
    </row>
    <row r="274" ht="12" customHeight="1" spans="1:16">
      <c r="A274" s="14">
        <v>133</v>
      </c>
      <c r="B274" s="15" t="s">
        <v>148</v>
      </c>
      <c r="C274" s="18"/>
      <c r="D274" s="16">
        <v>190.51</v>
      </c>
      <c r="E274" s="17"/>
      <c r="F274" s="17">
        <v>19.02</v>
      </c>
      <c r="G274" s="17"/>
      <c r="H274" s="16"/>
      <c r="I274" s="17"/>
      <c r="J274" s="17"/>
      <c r="K274" s="17"/>
      <c r="L274" s="17"/>
      <c r="M274" s="22"/>
      <c r="N274" s="17"/>
      <c r="O274" s="22"/>
      <c r="P274" s="19"/>
    </row>
    <row r="275" ht="12" customHeight="1" spans="1:16">
      <c r="A275" s="14"/>
      <c r="B275" s="15"/>
      <c r="C275" s="18">
        <v>25</v>
      </c>
      <c r="D275" s="16"/>
      <c r="E275" s="17">
        <v>5038.38</v>
      </c>
      <c r="F275" s="17"/>
      <c r="G275" s="17">
        <v>516.13</v>
      </c>
      <c r="H275" s="16"/>
      <c r="I275" s="17"/>
      <c r="J275" s="17"/>
      <c r="K275" s="17"/>
      <c r="L275" s="17"/>
      <c r="M275" s="22"/>
      <c r="N275" s="17"/>
      <c r="O275" s="22"/>
      <c r="P275" s="19">
        <f t="shared" si="43"/>
        <v>0</v>
      </c>
    </row>
    <row r="276" ht="12" customHeight="1" spans="1:16">
      <c r="A276" s="14">
        <v>134</v>
      </c>
      <c r="B276" s="15" t="s">
        <v>149</v>
      </c>
      <c r="C276" s="18"/>
      <c r="D276" s="16">
        <v>212.56</v>
      </c>
      <c r="E276" s="17"/>
      <c r="F276" s="17">
        <v>22.27</v>
      </c>
      <c r="G276" s="17"/>
      <c r="H276" s="16"/>
      <c r="I276" s="17"/>
      <c r="J276" s="17"/>
      <c r="K276" s="17"/>
      <c r="L276" s="17"/>
      <c r="M276" s="22"/>
      <c r="N276" s="17"/>
      <c r="O276" s="22"/>
      <c r="P276" s="19"/>
    </row>
    <row r="277" ht="12" customHeight="1" spans="1:16">
      <c r="A277" s="14"/>
      <c r="B277" s="15"/>
      <c r="C277" s="18">
        <v>25</v>
      </c>
      <c r="D277" s="16"/>
      <c r="E277" s="17">
        <v>5331.13</v>
      </c>
      <c r="F277" s="17"/>
      <c r="G277" s="17">
        <v>590</v>
      </c>
      <c r="H277" s="16"/>
      <c r="I277" s="17"/>
      <c r="J277" s="17"/>
      <c r="K277" s="17"/>
      <c r="L277" s="17"/>
      <c r="M277" s="22"/>
      <c r="N277" s="17"/>
      <c r="O277" s="22"/>
      <c r="P277" s="19">
        <f t="shared" ref="P277:P281" si="44">I277+K277-M277-O277</f>
        <v>0</v>
      </c>
    </row>
    <row r="278" ht="12" customHeight="1" spans="1:16">
      <c r="A278" s="14">
        <v>135</v>
      </c>
      <c r="B278" s="15" t="s">
        <v>150</v>
      </c>
      <c r="C278" s="18"/>
      <c r="D278" s="16">
        <v>213.93</v>
      </c>
      <c r="E278" s="17"/>
      <c r="F278" s="17">
        <v>24.93</v>
      </c>
      <c r="G278" s="17"/>
      <c r="H278" s="16"/>
      <c r="I278" s="17"/>
      <c r="J278" s="17"/>
      <c r="K278" s="17"/>
      <c r="L278" s="17"/>
      <c r="M278" s="22"/>
      <c r="N278" s="17"/>
      <c r="O278" s="22"/>
      <c r="P278" s="19"/>
    </row>
    <row r="279" ht="12" customHeight="1" spans="1:16">
      <c r="A279" s="14"/>
      <c r="B279" s="15"/>
      <c r="C279" s="18">
        <v>25</v>
      </c>
      <c r="D279" s="16"/>
      <c r="E279" s="17">
        <v>5451.25</v>
      </c>
      <c r="F279" s="17"/>
      <c r="G279" s="17">
        <v>639</v>
      </c>
      <c r="H279" s="16"/>
      <c r="I279" s="17"/>
      <c r="J279" s="17"/>
      <c r="K279" s="17"/>
      <c r="L279" s="17"/>
      <c r="M279" s="22"/>
      <c r="N279" s="17"/>
      <c r="O279" s="22"/>
      <c r="P279" s="19">
        <f t="shared" si="44"/>
        <v>0</v>
      </c>
    </row>
    <row r="280" ht="12" customHeight="1" spans="1:16">
      <c r="A280" s="14">
        <v>136</v>
      </c>
      <c r="B280" s="15" t="s">
        <v>151</v>
      </c>
      <c r="C280" s="18"/>
      <c r="D280" s="16">
        <v>222.17</v>
      </c>
      <c r="E280" s="17"/>
      <c r="F280" s="17">
        <v>26.19</v>
      </c>
      <c r="G280" s="17"/>
      <c r="H280" s="16"/>
      <c r="I280" s="17"/>
      <c r="J280" s="17"/>
      <c r="K280" s="17"/>
      <c r="L280" s="17"/>
      <c r="M280" s="22"/>
      <c r="N280" s="17"/>
      <c r="O280" s="22"/>
      <c r="P280" s="19"/>
    </row>
    <row r="281" ht="12" customHeight="1" spans="1:16">
      <c r="A281" s="14"/>
      <c r="B281" s="15"/>
      <c r="C281" s="18">
        <v>25</v>
      </c>
      <c r="D281" s="16"/>
      <c r="E281" s="17">
        <v>5846.63</v>
      </c>
      <c r="F281" s="17"/>
      <c r="G281" s="17">
        <v>672.25</v>
      </c>
      <c r="H281" s="16"/>
      <c r="I281" s="17"/>
      <c r="J281" s="17"/>
      <c r="K281" s="17"/>
      <c r="L281" s="17"/>
      <c r="M281" s="22"/>
      <c r="N281" s="17"/>
      <c r="O281" s="22"/>
      <c r="P281" s="19">
        <f t="shared" si="44"/>
        <v>0</v>
      </c>
    </row>
    <row r="282" ht="12" customHeight="1" spans="1:16">
      <c r="A282" s="14">
        <v>137</v>
      </c>
      <c r="B282" s="15" t="s">
        <v>152</v>
      </c>
      <c r="C282" s="18"/>
      <c r="D282" s="16">
        <v>245.56</v>
      </c>
      <c r="E282" s="17"/>
      <c r="F282" s="17">
        <v>27.59</v>
      </c>
      <c r="G282" s="17"/>
      <c r="H282" s="16"/>
      <c r="I282" s="17"/>
      <c r="J282" s="17"/>
      <c r="K282" s="17"/>
      <c r="L282" s="17"/>
      <c r="M282" s="22"/>
      <c r="N282" s="17"/>
      <c r="O282" s="22"/>
      <c r="P282" s="19"/>
    </row>
    <row r="283" ht="12" customHeight="1" spans="1:16">
      <c r="A283" s="14"/>
      <c r="B283" s="15"/>
      <c r="C283" s="18">
        <v>25</v>
      </c>
      <c r="D283" s="16"/>
      <c r="E283" s="17">
        <v>6328.13</v>
      </c>
      <c r="F283" s="17"/>
      <c r="G283" s="17">
        <v>703.75</v>
      </c>
      <c r="H283" s="16"/>
      <c r="I283" s="17"/>
      <c r="J283" s="17"/>
      <c r="K283" s="17"/>
      <c r="L283" s="17"/>
      <c r="M283" s="22"/>
      <c r="N283" s="17"/>
      <c r="O283" s="22"/>
      <c r="P283" s="19">
        <f t="shared" ref="P283:P287" si="45">I283+K283-M283-O283</f>
        <v>0</v>
      </c>
    </row>
    <row r="284" ht="12" customHeight="1" spans="1:16">
      <c r="A284" s="14">
        <v>138</v>
      </c>
      <c r="B284" s="15" t="s">
        <v>153</v>
      </c>
      <c r="C284" s="18"/>
      <c r="D284" s="16">
        <v>260.69</v>
      </c>
      <c r="E284" s="17"/>
      <c r="F284" s="17">
        <v>28.71</v>
      </c>
      <c r="G284" s="17"/>
      <c r="H284" s="16"/>
      <c r="I284" s="17"/>
      <c r="J284" s="17"/>
      <c r="K284" s="17"/>
      <c r="L284" s="17"/>
      <c r="M284" s="22"/>
      <c r="N284" s="17"/>
      <c r="O284" s="22"/>
      <c r="P284" s="19"/>
    </row>
    <row r="285" ht="12" customHeight="1" spans="1:16">
      <c r="A285" s="14"/>
      <c r="B285" s="15"/>
      <c r="C285" s="18">
        <v>25</v>
      </c>
      <c r="D285" s="16"/>
      <c r="E285" s="17">
        <v>5562.25</v>
      </c>
      <c r="F285" s="17"/>
      <c r="G285" s="17">
        <v>607.13</v>
      </c>
      <c r="H285" s="16"/>
      <c r="I285" s="17"/>
      <c r="J285" s="17"/>
      <c r="K285" s="17"/>
      <c r="L285" s="17"/>
      <c r="M285" s="22"/>
      <c r="N285" s="17"/>
      <c r="O285" s="22"/>
      <c r="P285" s="19">
        <f t="shared" si="45"/>
        <v>0</v>
      </c>
    </row>
    <row r="286" ht="12" customHeight="1" spans="1:16">
      <c r="A286" s="14">
        <v>139</v>
      </c>
      <c r="B286" s="15" t="s">
        <v>154</v>
      </c>
      <c r="C286" s="18"/>
      <c r="D286" s="16">
        <v>184.29</v>
      </c>
      <c r="E286" s="17"/>
      <c r="F286" s="17">
        <v>19.86</v>
      </c>
      <c r="G286" s="17"/>
      <c r="H286" s="16"/>
      <c r="I286" s="17"/>
      <c r="J286" s="17"/>
      <c r="K286" s="17"/>
      <c r="L286" s="17"/>
      <c r="M286" s="22"/>
      <c r="N286" s="17"/>
      <c r="O286" s="22"/>
      <c r="P286" s="19"/>
    </row>
    <row r="287" ht="12" customHeight="1" spans="1:16">
      <c r="A287" s="14"/>
      <c r="B287" s="15"/>
      <c r="C287" s="18">
        <v>25</v>
      </c>
      <c r="D287" s="16"/>
      <c r="E287" s="17">
        <v>4076.5</v>
      </c>
      <c r="F287" s="17"/>
      <c r="G287" s="17">
        <v>422.88</v>
      </c>
      <c r="H287" s="16"/>
      <c r="I287" s="17"/>
      <c r="J287" s="17"/>
      <c r="K287" s="17"/>
      <c r="L287" s="17"/>
      <c r="M287" s="22"/>
      <c r="N287" s="17"/>
      <c r="O287" s="22"/>
      <c r="P287" s="19">
        <f t="shared" si="45"/>
        <v>0</v>
      </c>
    </row>
    <row r="288" ht="12" customHeight="1" spans="1:16">
      <c r="A288" s="14">
        <v>140</v>
      </c>
      <c r="B288" s="15" t="s">
        <v>155</v>
      </c>
      <c r="C288" s="18"/>
      <c r="D288" s="16">
        <v>141.83</v>
      </c>
      <c r="E288" s="17"/>
      <c r="F288" s="17">
        <v>13.97</v>
      </c>
      <c r="G288" s="17"/>
      <c r="H288" s="16"/>
      <c r="I288" s="17"/>
      <c r="J288" s="17"/>
      <c r="K288" s="17"/>
      <c r="L288" s="17"/>
      <c r="M288" s="22"/>
      <c r="N288" s="17"/>
      <c r="O288" s="22"/>
      <c r="P288" s="19"/>
    </row>
    <row r="289" ht="12" customHeight="1" spans="1:16">
      <c r="A289" s="14"/>
      <c r="B289" s="15"/>
      <c r="C289" s="18">
        <v>25</v>
      </c>
      <c r="D289" s="16"/>
      <c r="E289" s="17">
        <v>2850.25</v>
      </c>
      <c r="F289" s="17"/>
      <c r="G289" s="17">
        <v>280.75</v>
      </c>
      <c r="H289" s="16"/>
      <c r="I289" s="17"/>
      <c r="J289" s="17"/>
      <c r="K289" s="17"/>
      <c r="L289" s="17"/>
      <c r="M289" s="22"/>
      <c r="N289" s="17"/>
      <c r="O289" s="22"/>
      <c r="P289" s="19">
        <f t="shared" ref="P289:P293" si="46">I289+K289-M289-O289</f>
        <v>0</v>
      </c>
    </row>
    <row r="290" ht="12" customHeight="1" spans="1:16">
      <c r="A290" s="14">
        <v>141</v>
      </c>
      <c r="B290" s="15" t="s">
        <v>156</v>
      </c>
      <c r="C290" s="18"/>
      <c r="D290" s="16">
        <v>86.19</v>
      </c>
      <c r="E290" s="17"/>
      <c r="F290" s="17">
        <v>8.49</v>
      </c>
      <c r="G290" s="17"/>
      <c r="H290" s="16"/>
      <c r="I290" s="17"/>
      <c r="J290" s="17"/>
      <c r="K290" s="17"/>
      <c r="L290" s="17"/>
      <c r="M290" s="22"/>
      <c r="N290" s="17"/>
      <c r="O290" s="22"/>
      <c r="P290" s="19"/>
    </row>
    <row r="291" ht="12" customHeight="1" spans="1:16">
      <c r="A291" s="14"/>
      <c r="B291" s="15"/>
      <c r="C291" s="18">
        <v>25</v>
      </c>
      <c r="D291" s="16"/>
      <c r="E291" s="17">
        <v>1911.75</v>
      </c>
      <c r="F291" s="17"/>
      <c r="G291" s="17">
        <v>213.38</v>
      </c>
      <c r="H291" s="16"/>
      <c r="I291" s="17"/>
      <c r="J291" s="17"/>
      <c r="K291" s="17"/>
      <c r="L291" s="17"/>
      <c r="M291" s="22"/>
      <c r="N291" s="17"/>
      <c r="O291" s="22"/>
      <c r="P291" s="19">
        <f t="shared" si="46"/>
        <v>0</v>
      </c>
    </row>
    <row r="292" ht="12" customHeight="1" spans="1:16">
      <c r="A292" s="14">
        <v>142</v>
      </c>
      <c r="B292" s="15" t="s">
        <v>157</v>
      </c>
      <c r="C292" s="18"/>
      <c r="D292" s="16">
        <v>66.75</v>
      </c>
      <c r="E292" s="17"/>
      <c r="F292" s="17">
        <v>8.58</v>
      </c>
      <c r="G292" s="17"/>
      <c r="H292" s="16"/>
      <c r="I292" s="17"/>
      <c r="J292" s="17"/>
      <c r="K292" s="17"/>
      <c r="L292" s="17"/>
      <c r="M292" s="22"/>
      <c r="N292" s="17"/>
      <c r="O292" s="22"/>
      <c r="P292" s="19"/>
    </row>
    <row r="293" ht="12" customHeight="1" spans="1:16">
      <c r="A293" s="14"/>
      <c r="B293" s="15"/>
      <c r="C293" s="18">
        <v>25</v>
      </c>
      <c r="D293" s="16"/>
      <c r="E293" s="17">
        <v>1787.5</v>
      </c>
      <c r="F293" s="17"/>
      <c r="G293" s="17">
        <v>219.5</v>
      </c>
      <c r="H293" s="16"/>
      <c r="I293" s="17"/>
      <c r="J293" s="17"/>
      <c r="K293" s="17"/>
      <c r="L293" s="17"/>
      <c r="M293" s="22"/>
      <c r="N293" s="17"/>
      <c r="O293" s="22"/>
      <c r="P293" s="19">
        <f t="shared" si="46"/>
        <v>0</v>
      </c>
    </row>
    <row r="294" ht="12" customHeight="1" spans="1:16">
      <c r="A294" s="14">
        <v>143</v>
      </c>
      <c r="B294" s="15" t="s">
        <v>158</v>
      </c>
      <c r="C294" s="18"/>
      <c r="D294" s="16">
        <v>76.25</v>
      </c>
      <c r="E294" s="17"/>
      <c r="F294" s="17">
        <v>8.98</v>
      </c>
      <c r="G294" s="17"/>
      <c r="H294" s="16"/>
      <c r="I294" s="17"/>
      <c r="J294" s="17"/>
      <c r="K294" s="17"/>
      <c r="L294" s="17"/>
      <c r="M294" s="22"/>
      <c r="N294" s="17"/>
      <c r="O294" s="22"/>
      <c r="P294" s="19"/>
    </row>
    <row r="295" ht="12" customHeight="1" spans="1:16">
      <c r="A295" s="14"/>
      <c r="B295" s="15"/>
      <c r="C295" s="18">
        <v>25</v>
      </c>
      <c r="D295" s="16"/>
      <c r="E295" s="17">
        <v>1902.25</v>
      </c>
      <c r="F295" s="17"/>
      <c r="G295" s="17">
        <v>230.5</v>
      </c>
      <c r="H295" s="16"/>
      <c r="I295" s="17"/>
      <c r="J295" s="17"/>
      <c r="K295" s="17"/>
      <c r="L295" s="17"/>
      <c r="M295" s="22"/>
      <c r="N295" s="17"/>
      <c r="O295" s="22"/>
      <c r="P295" s="19">
        <f t="shared" ref="P295:P299" si="47">I295+K295-M295-O295</f>
        <v>0</v>
      </c>
    </row>
    <row r="296" ht="12" customHeight="1" spans="1:16">
      <c r="A296" s="14">
        <v>144</v>
      </c>
      <c r="B296" s="15" t="s">
        <v>159</v>
      </c>
      <c r="C296" s="18"/>
      <c r="D296" s="16">
        <v>75.93</v>
      </c>
      <c r="E296" s="17"/>
      <c r="F296" s="17">
        <v>9.46</v>
      </c>
      <c r="G296" s="17"/>
      <c r="H296" s="16"/>
      <c r="I296" s="17"/>
      <c r="J296" s="17"/>
      <c r="K296" s="17"/>
      <c r="L296" s="17"/>
      <c r="M296" s="22"/>
      <c r="N296" s="17"/>
      <c r="O296" s="22"/>
      <c r="P296" s="19"/>
    </row>
    <row r="297" ht="12" customHeight="1" spans="1:16">
      <c r="A297" s="14"/>
      <c r="B297" s="15"/>
      <c r="C297" s="18">
        <v>25</v>
      </c>
      <c r="D297" s="16"/>
      <c r="E297" s="17">
        <v>1694.38</v>
      </c>
      <c r="F297" s="17"/>
      <c r="G297" s="17">
        <v>203.63</v>
      </c>
      <c r="H297" s="16"/>
      <c r="I297" s="17"/>
      <c r="J297" s="17"/>
      <c r="K297" s="17"/>
      <c r="L297" s="17"/>
      <c r="M297" s="22"/>
      <c r="N297" s="17"/>
      <c r="O297" s="22"/>
      <c r="P297" s="19">
        <f t="shared" si="47"/>
        <v>0</v>
      </c>
    </row>
    <row r="298" ht="12" customHeight="1" spans="1:16">
      <c r="A298" s="14">
        <v>145</v>
      </c>
      <c r="B298" s="15" t="s">
        <v>160</v>
      </c>
      <c r="C298" s="18"/>
      <c r="D298" s="16">
        <v>59.62</v>
      </c>
      <c r="E298" s="17"/>
      <c r="F298" s="17">
        <v>6.83</v>
      </c>
      <c r="G298" s="17"/>
      <c r="H298" s="16"/>
      <c r="I298" s="17"/>
      <c r="J298" s="17"/>
      <c r="K298" s="17"/>
      <c r="L298" s="17"/>
      <c r="M298" s="22"/>
      <c r="N298" s="17"/>
      <c r="O298" s="22"/>
      <c r="P298" s="19"/>
    </row>
    <row r="299" ht="12" customHeight="1" spans="1:16">
      <c r="A299" s="14"/>
      <c r="B299" s="15"/>
      <c r="C299" s="18">
        <v>25</v>
      </c>
      <c r="D299" s="16"/>
      <c r="E299" s="17">
        <v>1230</v>
      </c>
      <c r="F299" s="17"/>
      <c r="G299" s="17">
        <v>143.5</v>
      </c>
      <c r="H299" s="16"/>
      <c r="I299" s="17"/>
      <c r="J299" s="17"/>
      <c r="K299" s="17"/>
      <c r="L299" s="17"/>
      <c r="M299" s="22"/>
      <c r="N299" s="17"/>
      <c r="O299" s="22"/>
      <c r="P299" s="19">
        <f t="shared" si="47"/>
        <v>0</v>
      </c>
    </row>
    <row r="300" ht="12" customHeight="1" spans="1:16">
      <c r="A300" s="14">
        <v>146</v>
      </c>
      <c r="B300" s="15" t="s">
        <v>161</v>
      </c>
      <c r="C300" s="18"/>
      <c r="D300" s="16">
        <v>38.78</v>
      </c>
      <c r="E300" s="17"/>
      <c r="F300" s="17">
        <v>4.65</v>
      </c>
      <c r="G300" s="17"/>
      <c r="H300" s="16"/>
      <c r="I300" s="17"/>
      <c r="J300" s="17"/>
      <c r="K300" s="17"/>
      <c r="L300" s="17"/>
      <c r="M300" s="22"/>
      <c r="N300" s="17"/>
      <c r="O300" s="22"/>
      <c r="P300" s="19"/>
    </row>
    <row r="301" ht="12" customHeight="1" spans="1:16">
      <c r="A301" s="14"/>
      <c r="B301" s="15"/>
      <c r="C301" s="18">
        <v>25</v>
      </c>
      <c r="D301" s="16"/>
      <c r="E301" s="17">
        <v>806.25</v>
      </c>
      <c r="F301" s="17"/>
      <c r="G301" s="17">
        <v>88.38</v>
      </c>
      <c r="H301" s="16"/>
      <c r="I301" s="17"/>
      <c r="J301" s="17"/>
      <c r="K301" s="17"/>
      <c r="L301" s="17"/>
      <c r="M301" s="22"/>
      <c r="N301" s="17"/>
      <c r="O301" s="22"/>
      <c r="P301" s="19">
        <f t="shared" ref="P301:P305" si="48">I301+K301-M301-O301</f>
        <v>0</v>
      </c>
    </row>
    <row r="302" ht="12" customHeight="1" spans="1:16">
      <c r="A302" s="14">
        <v>147</v>
      </c>
      <c r="B302" s="15" t="s">
        <v>162</v>
      </c>
      <c r="C302" s="18"/>
      <c r="D302" s="16">
        <v>25.72</v>
      </c>
      <c r="E302" s="17"/>
      <c r="F302" s="17">
        <v>2.42</v>
      </c>
      <c r="G302" s="17"/>
      <c r="H302" s="16"/>
      <c r="I302" s="17"/>
      <c r="J302" s="17"/>
      <c r="K302" s="17"/>
      <c r="L302" s="17"/>
      <c r="M302" s="22"/>
      <c r="N302" s="17"/>
      <c r="O302" s="22"/>
      <c r="P302" s="19"/>
    </row>
    <row r="303" ht="12" customHeight="1" spans="1:16">
      <c r="A303" s="14"/>
      <c r="B303" s="15"/>
      <c r="C303" s="18">
        <v>25</v>
      </c>
      <c r="D303" s="16"/>
      <c r="E303" s="17">
        <v>321.5</v>
      </c>
      <c r="F303" s="17"/>
      <c r="G303" s="17">
        <v>30.25</v>
      </c>
      <c r="H303" s="16"/>
      <c r="I303" s="17"/>
      <c r="J303" s="17"/>
      <c r="K303" s="17"/>
      <c r="L303" s="17"/>
      <c r="M303" s="22"/>
      <c r="N303" s="17"/>
      <c r="O303" s="22"/>
      <c r="P303" s="19">
        <f t="shared" si="48"/>
        <v>0</v>
      </c>
    </row>
    <row r="304" ht="12" customHeight="1" spans="1:16">
      <c r="A304" s="14">
        <v>148</v>
      </c>
      <c r="B304" s="15" t="s">
        <v>163</v>
      </c>
      <c r="C304" s="18"/>
      <c r="D304" s="16">
        <v>0</v>
      </c>
      <c r="E304" s="17"/>
      <c r="F304" s="17">
        <v>0</v>
      </c>
      <c r="G304" s="17"/>
      <c r="H304" s="16"/>
      <c r="I304" s="17"/>
      <c r="J304" s="17"/>
      <c r="K304" s="17"/>
      <c r="L304" s="17"/>
      <c r="M304" s="22"/>
      <c r="N304" s="17"/>
      <c r="O304" s="22"/>
      <c r="P304" s="19"/>
    </row>
    <row r="305" ht="12" customHeight="1" spans="1:16">
      <c r="A305" s="14"/>
      <c r="B305" s="15"/>
      <c r="C305" s="18">
        <v>25</v>
      </c>
      <c r="D305" s="16"/>
      <c r="E305" s="17">
        <v>0</v>
      </c>
      <c r="F305" s="17"/>
      <c r="G305" s="17">
        <v>0</v>
      </c>
      <c r="H305" s="16"/>
      <c r="I305" s="17"/>
      <c r="J305" s="17"/>
      <c r="K305" s="17"/>
      <c r="L305" s="17"/>
      <c r="M305" s="22"/>
      <c r="N305" s="17"/>
      <c r="O305" s="22"/>
      <c r="P305" s="19">
        <f t="shared" si="48"/>
        <v>0</v>
      </c>
    </row>
    <row r="306" ht="12" customHeight="1" spans="1:16">
      <c r="A306" s="14">
        <v>149</v>
      </c>
      <c r="B306" s="15" t="s">
        <v>164</v>
      </c>
      <c r="C306" s="18"/>
      <c r="D306" s="16">
        <v>0</v>
      </c>
      <c r="E306" s="17"/>
      <c r="F306" s="17">
        <v>0</v>
      </c>
      <c r="G306" s="17"/>
      <c r="H306" s="16"/>
      <c r="I306" s="17"/>
      <c r="J306" s="17"/>
      <c r="K306" s="17"/>
      <c r="L306" s="17"/>
      <c r="M306" s="22"/>
      <c r="N306" s="17"/>
      <c r="O306" s="22"/>
      <c r="P306" s="19"/>
    </row>
    <row r="307" ht="12" customHeight="1" spans="1:16">
      <c r="A307" s="14"/>
      <c r="B307" s="15"/>
      <c r="C307" s="18">
        <v>25</v>
      </c>
      <c r="D307" s="16"/>
      <c r="E307" s="17">
        <v>0</v>
      </c>
      <c r="F307" s="17"/>
      <c r="G307" s="17">
        <v>0</v>
      </c>
      <c r="H307" s="16"/>
      <c r="I307" s="17"/>
      <c r="J307" s="17"/>
      <c r="K307" s="17"/>
      <c r="L307" s="17"/>
      <c r="M307" s="22"/>
      <c r="N307" s="17"/>
      <c r="O307" s="22"/>
      <c r="P307" s="19">
        <f t="shared" ref="P307:P311" si="49">I307+K307-M307-O307</f>
        <v>0</v>
      </c>
    </row>
    <row r="308" ht="12" customHeight="1" spans="1:16">
      <c r="A308" s="14">
        <v>150</v>
      </c>
      <c r="B308" s="15" t="s">
        <v>165</v>
      </c>
      <c r="C308" s="18"/>
      <c r="D308" s="16">
        <v>0</v>
      </c>
      <c r="E308" s="17"/>
      <c r="F308" s="17">
        <v>0</v>
      </c>
      <c r="G308" s="17"/>
      <c r="H308" s="16"/>
      <c r="I308" s="17"/>
      <c r="J308" s="17"/>
      <c r="K308" s="17"/>
      <c r="L308" s="17"/>
      <c r="M308" s="22"/>
      <c r="N308" s="17"/>
      <c r="O308" s="22"/>
      <c r="P308" s="19"/>
    </row>
    <row r="309" ht="12" customHeight="1" spans="1:16">
      <c r="A309" s="14"/>
      <c r="B309" s="15"/>
      <c r="C309" s="18">
        <v>25</v>
      </c>
      <c r="D309" s="16"/>
      <c r="E309" s="17">
        <v>0</v>
      </c>
      <c r="F309" s="17"/>
      <c r="G309" s="17">
        <v>0</v>
      </c>
      <c r="H309" s="16"/>
      <c r="I309" s="17"/>
      <c r="J309" s="17"/>
      <c r="K309" s="17"/>
      <c r="L309" s="17"/>
      <c r="M309" s="22"/>
      <c r="N309" s="17"/>
      <c r="O309" s="22"/>
      <c r="P309" s="19">
        <f t="shared" si="49"/>
        <v>0</v>
      </c>
    </row>
    <row r="310" ht="12" customHeight="1" spans="1:16">
      <c r="A310" s="14">
        <v>151</v>
      </c>
      <c r="B310" s="15" t="s">
        <v>166</v>
      </c>
      <c r="C310" s="18"/>
      <c r="D310" s="16">
        <v>0</v>
      </c>
      <c r="E310" s="17"/>
      <c r="F310" s="17">
        <v>0</v>
      </c>
      <c r="G310" s="17"/>
      <c r="H310" s="16"/>
      <c r="I310" s="17"/>
      <c r="J310" s="17"/>
      <c r="K310" s="17"/>
      <c r="L310" s="17"/>
      <c r="M310" s="22"/>
      <c r="N310" s="17"/>
      <c r="O310" s="22"/>
      <c r="P310" s="19"/>
    </row>
    <row r="311" ht="12" customHeight="1" spans="1:16">
      <c r="A311" s="14"/>
      <c r="B311" s="15"/>
      <c r="C311" s="18">
        <v>25</v>
      </c>
      <c r="D311" s="16"/>
      <c r="E311" s="17">
        <v>0</v>
      </c>
      <c r="F311" s="17"/>
      <c r="G311" s="17">
        <v>0</v>
      </c>
      <c r="H311" s="16"/>
      <c r="I311" s="17"/>
      <c r="J311" s="17"/>
      <c r="K311" s="17"/>
      <c r="L311" s="17"/>
      <c r="M311" s="22"/>
      <c r="N311" s="17"/>
      <c r="O311" s="22"/>
      <c r="P311" s="19">
        <f t="shared" si="49"/>
        <v>0</v>
      </c>
    </row>
    <row r="312" ht="12" customHeight="1" spans="1:16">
      <c r="A312" s="14">
        <v>152</v>
      </c>
      <c r="B312" s="15" t="s">
        <v>167</v>
      </c>
      <c r="C312" s="18"/>
      <c r="D312" s="16">
        <v>0</v>
      </c>
      <c r="E312" s="17"/>
      <c r="F312" s="17">
        <v>0</v>
      </c>
      <c r="G312" s="17"/>
      <c r="H312" s="16"/>
      <c r="I312" s="17"/>
      <c r="J312" s="17"/>
      <c r="K312" s="17"/>
      <c r="L312" s="17"/>
      <c r="M312" s="22"/>
      <c r="N312" s="17"/>
      <c r="O312" s="22"/>
      <c r="P312" s="19"/>
    </row>
    <row r="313" ht="12" customHeight="1" spans="1:16">
      <c r="A313" s="14"/>
      <c r="B313" s="15"/>
      <c r="C313" s="18">
        <v>25</v>
      </c>
      <c r="D313" s="16"/>
      <c r="E313" s="17">
        <v>0</v>
      </c>
      <c r="F313" s="17"/>
      <c r="G313" s="17">
        <v>0</v>
      </c>
      <c r="H313" s="16"/>
      <c r="I313" s="17"/>
      <c r="J313" s="17"/>
      <c r="K313" s="17"/>
      <c r="L313" s="17"/>
      <c r="M313" s="22"/>
      <c r="N313" s="17"/>
      <c r="O313" s="22"/>
      <c r="P313" s="19">
        <f t="shared" ref="P313:P317" si="50">I313+K313-M313-O313</f>
        <v>0</v>
      </c>
    </row>
    <row r="314" ht="12" customHeight="1" spans="1:16">
      <c r="A314" s="14">
        <v>153</v>
      </c>
      <c r="B314" s="15" t="s">
        <v>168</v>
      </c>
      <c r="C314" s="18"/>
      <c r="D314" s="16">
        <v>0</v>
      </c>
      <c r="E314" s="17"/>
      <c r="F314" s="17">
        <v>0</v>
      </c>
      <c r="G314" s="17"/>
      <c r="H314" s="16"/>
      <c r="I314" s="17"/>
      <c r="J314" s="17"/>
      <c r="K314" s="17"/>
      <c r="L314" s="17"/>
      <c r="M314" s="22"/>
      <c r="N314" s="17"/>
      <c r="O314" s="22"/>
      <c r="P314" s="19"/>
    </row>
    <row r="315" ht="12" customHeight="1" spans="1:16">
      <c r="A315" s="14"/>
      <c r="B315" s="15"/>
      <c r="C315" s="18">
        <v>25</v>
      </c>
      <c r="D315" s="16"/>
      <c r="E315" s="17">
        <v>0</v>
      </c>
      <c r="F315" s="17"/>
      <c r="G315" s="17">
        <v>0</v>
      </c>
      <c r="H315" s="16"/>
      <c r="I315" s="17"/>
      <c r="J315" s="17"/>
      <c r="K315" s="17"/>
      <c r="L315" s="17"/>
      <c r="M315" s="22"/>
      <c r="N315" s="17"/>
      <c r="O315" s="22"/>
      <c r="P315" s="19">
        <f t="shared" si="50"/>
        <v>0</v>
      </c>
    </row>
    <row r="316" ht="12" customHeight="1" spans="1:16">
      <c r="A316" s="14">
        <v>154</v>
      </c>
      <c r="B316" s="15" t="s">
        <v>169</v>
      </c>
      <c r="C316" s="18"/>
      <c r="D316" s="16">
        <v>0</v>
      </c>
      <c r="E316" s="17"/>
      <c r="F316" s="17">
        <v>0</v>
      </c>
      <c r="G316" s="17"/>
      <c r="H316" s="16"/>
      <c r="I316" s="17"/>
      <c r="J316" s="17"/>
      <c r="K316" s="17"/>
      <c r="L316" s="17"/>
      <c r="M316" s="22"/>
      <c r="N316" s="17"/>
      <c r="O316" s="22"/>
      <c r="P316" s="19"/>
    </row>
    <row r="317" ht="12" customHeight="1" spans="1:16">
      <c r="A317" s="14"/>
      <c r="B317" s="15"/>
      <c r="C317" s="18">
        <v>25</v>
      </c>
      <c r="D317" s="16"/>
      <c r="E317" s="17">
        <v>0</v>
      </c>
      <c r="F317" s="17"/>
      <c r="G317" s="17">
        <v>0</v>
      </c>
      <c r="H317" s="16"/>
      <c r="I317" s="17"/>
      <c r="J317" s="17"/>
      <c r="K317" s="17"/>
      <c r="L317" s="17"/>
      <c r="M317" s="22"/>
      <c r="N317" s="17"/>
      <c r="O317" s="22"/>
      <c r="P317" s="19">
        <f t="shared" si="50"/>
        <v>0</v>
      </c>
    </row>
    <row r="318" ht="12" customHeight="1" spans="1:16">
      <c r="A318" s="14">
        <v>155</v>
      </c>
      <c r="B318" s="15" t="s">
        <v>170</v>
      </c>
      <c r="C318" s="18"/>
      <c r="D318" s="16">
        <v>0</v>
      </c>
      <c r="E318" s="17"/>
      <c r="F318" s="17">
        <v>0</v>
      </c>
      <c r="G318" s="17"/>
      <c r="H318" s="16"/>
      <c r="I318" s="17"/>
      <c r="J318" s="17"/>
      <c r="K318" s="17"/>
      <c r="L318" s="17"/>
      <c r="M318" s="22"/>
      <c r="N318" s="17"/>
      <c r="O318" s="22"/>
      <c r="P318" s="19"/>
    </row>
    <row r="319" ht="12" customHeight="1" spans="1:16">
      <c r="A319" s="14"/>
      <c r="B319" s="15"/>
      <c r="C319" s="18">
        <v>25</v>
      </c>
      <c r="D319" s="16"/>
      <c r="E319" s="17">
        <v>0</v>
      </c>
      <c r="F319" s="17"/>
      <c r="G319" s="17">
        <v>0</v>
      </c>
      <c r="H319" s="16"/>
      <c r="I319" s="17"/>
      <c r="J319" s="17"/>
      <c r="K319" s="17"/>
      <c r="L319" s="17"/>
      <c r="M319" s="22"/>
      <c r="N319" s="17"/>
      <c r="O319" s="22"/>
      <c r="P319" s="19">
        <f t="shared" ref="P319:P323" si="51">I319+K319-M319-O319</f>
        <v>0</v>
      </c>
    </row>
    <row r="320" ht="12" customHeight="1" spans="1:16">
      <c r="A320" s="14">
        <v>156</v>
      </c>
      <c r="B320" s="15" t="s">
        <v>171</v>
      </c>
      <c r="C320" s="18"/>
      <c r="D320" s="16">
        <v>0</v>
      </c>
      <c r="E320" s="17"/>
      <c r="F320" s="17">
        <v>0</v>
      </c>
      <c r="G320" s="17"/>
      <c r="H320" s="16"/>
      <c r="I320" s="17"/>
      <c r="J320" s="17"/>
      <c r="K320" s="17"/>
      <c r="L320" s="17"/>
      <c r="M320" s="22"/>
      <c r="N320" s="17"/>
      <c r="O320" s="22"/>
      <c r="P320" s="19"/>
    </row>
    <row r="321" ht="12" customHeight="1" spans="1:16">
      <c r="A321" s="14"/>
      <c r="B321" s="15"/>
      <c r="C321" s="18">
        <v>25</v>
      </c>
      <c r="D321" s="16"/>
      <c r="E321" s="17">
        <v>146</v>
      </c>
      <c r="F321" s="17"/>
      <c r="G321" s="17">
        <v>43.13</v>
      </c>
      <c r="H321" s="16"/>
      <c r="I321" s="17"/>
      <c r="J321" s="17"/>
      <c r="K321" s="17"/>
      <c r="L321" s="17"/>
      <c r="M321" s="22"/>
      <c r="N321" s="17"/>
      <c r="O321" s="22"/>
      <c r="P321" s="19">
        <f t="shared" si="51"/>
        <v>0</v>
      </c>
    </row>
    <row r="322" ht="12" customHeight="1" spans="1:16">
      <c r="A322" s="14">
        <v>157</v>
      </c>
      <c r="B322" s="15" t="s">
        <v>172</v>
      </c>
      <c r="C322" s="18"/>
      <c r="D322" s="16">
        <v>11.68</v>
      </c>
      <c r="E322" s="17"/>
      <c r="F322" s="17">
        <v>3.45</v>
      </c>
      <c r="G322" s="17"/>
      <c r="H322" s="16"/>
      <c r="I322" s="17"/>
      <c r="J322" s="17"/>
      <c r="K322" s="17"/>
      <c r="L322" s="17"/>
      <c r="M322" s="22"/>
      <c r="N322" s="17"/>
      <c r="O322" s="22"/>
      <c r="P322" s="19"/>
    </row>
    <row r="323" ht="12" customHeight="1" spans="1:16">
      <c r="A323" s="14"/>
      <c r="B323" s="15"/>
      <c r="C323" s="18">
        <v>25</v>
      </c>
      <c r="D323" s="16"/>
      <c r="E323" s="17">
        <v>399.38</v>
      </c>
      <c r="F323" s="17"/>
      <c r="G323" s="17">
        <v>127.13</v>
      </c>
      <c r="H323" s="16"/>
      <c r="I323" s="17"/>
      <c r="J323" s="17"/>
      <c r="K323" s="17"/>
      <c r="L323" s="17"/>
      <c r="M323" s="22"/>
      <c r="N323" s="17"/>
      <c r="O323" s="22"/>
      <c r="P323" s="19">
        <f t="shared" si="51"/>
        <v>0</v>
      </c>
    </row>
    <row r="324" ht="12" customHeight="1" spans="1:16">
      <c r="A324" s="14">
        <v>158</v>
      </c>
      <c r="B324" s="15" t="s">
        <v>173</v>
      </c>
      <c r="C324" s="18"/>
      <c r="D324" s="16">
        <v>20.27</v>
      </c>
      <c r="E324" s="17"/>
      <c r="F324" s="17">
        <v>6.72</v>
      </c>
      <c r="G324" s="17"/>
      <c r="H324" s="16"/>
      <c r="I324" s="17"/>
      <c r="J324" s="17"/>
      <c r="K324" s="17"/>
      <c r="L324" s="17"/>
      <c r="M324" s="22"/>
      <c r="N324" s="17"/>
      <c r="O324" s="22"/>
      <c r="P324" s="19"/>
    </row>
    <row r="325" ht="12" customHeight="1" spans="1:16">
      <c r="A325" s="14"/>
      <c r="B325" s="15"/>
      <c r="C325" s="18">
        <v>25</v>
      </c>
      <c r="D325" s="16"/>
      <c r="E325" s="17">
        <v>764.38</v>
      </c>
      <c r="F325" s="17"/>
      <c r="G325" s="17">
        <v>213.75</v>
      </c>
      <c r="H325" s="16"/>
      <c r="I325" s="17"/>
      <c r="J325" s="17"/>
      <c r="K325" s="17"/>
      <c r="L325" s="17"/>
      <c r="M325" s="22"/>
      <c r="N325" s="17"/>
      <c r="O325" s="22"/>
      <c r="P325" s="19">
        <f t="shared" ref="P325:P329" si="52">I325+K325-M325-O325</f>
        <v>0</v>
      </c>
    </row>
    <row r="326" ht="12" customHeight="1" spans="1:16">
      <c r="A326" s="14">
        <v>159</v>
      </c>
      <c r="B326" s="15" t="s">
        <v>174</v>
      </c>
      <c r="C326" s="18"/>
      <c r="D326" s="16">
        <v>40.88</v>
      </c>
      <c r="E326" s="17"/>
      <c r="F326" s="17">
        <v>10.38</v>
      </c>
      <c r="G326" s="17"/>
      <c r="H326" s="16"/>
      <c r="I326" s="17"/>
      <c r="J326" s="17"/>
      <c r="K326" s="17"/>
      <c r="L326" s="17"/>
      <c r="M326" s="22"/>
      <c r="N326" s="17"/>
      <c r="O326" s="22"/>
      <c r="P326" s="19"/>
    </row>
    <row r="327" ht="12" customHeight="1" spans="1:16">
      <c r="A327" s="14"/>
      <c r="B327" s="15"/>
      <c r="C327" s="18">
        <v>25</v>
      </c>
      <c r="D327" s="16"/>
      <c r="E327" s="17">
        <v>1201</v>
      </c>
      <c r="F327" s="17"/>
      <c r="G327" s="17">
        <v>254.88</v>
      </c>
      <c r="H327" s="16"/>
      <c r="I327" s="17"/>
      <c r="J327" s="17"/>
      <c r="K327" s="17"/>
      <c r="L327" s="17"/>
      <c r="M327" s="22"/>
      <c r="N327" s="17"/>
      <c r="O327" s="22"/>
      <c r="P327" s="19">
        <f t="shared" si="52"/>
        <v>0</v>
      </c>
    </row>
    <row r="328" ht="12" customHeight="1" spans="1:16">
      <c r="A328" s="14">
        <v>160</v>
      </c>
      <c r="B328" s="15" t="s">
        <v>175</v>
      </c>
      <c r="C328" s="18"/>
      <c r="D328" s="16">
        <v>55.2</v>
      </c>
      <c r="E328" s="17"/>
      <c r="F328" s="17">
        <v>10.01</v>
      </c>
      <c r="G328" s="17"/>
      <c r="H328" s="16"/>
      <c r="I328" s="17"/>
      <c r="J328" s="17"/>
      <c r="K328" s="17"/>
      <c r="L328" s="17"/>
      <c r="M328" s="22"/>
      <c r="N328" s="17"/>
      <c r="O328" s="22"/>
      <c r="P328" s="19"/>
    </row>
    <row r="329" ht="12" customHeight="1" spans="1:16">
      <c r="A329" s="14"/>
      <c r="B329" s="15"/>
      <c r="C329" s="18">
        <v>25</v>
      </c>
      <c r="D329" s="16"/>
      <c r="E329" s="17">
        <v>1596.38</v>
      </c>
      <c r="F329" s="17"/>
      <c r="G329" s="17">
        <v>278.63</v>
      </c>
      <c r="H329" s="16"/>
      <c r="I329" s="17"/>
      <c r="J329" s="17"/>
      <c r="K329" s="17"/>
      <c r="L329" s="17"/>
      <c r="M329" s="22"/>
      <c r="N329" s="17"/>
      <c r="O329" s="22"/>
      <c r="P329" s="19">
        <f t="shared" si="52"/>
        <v>0</v>
      </c>
    </row>
    <row r="330" ht="12" customHeight="1" spans="1:16">
      <c r="A330" s="14">
        <v>161</v>
      </c>
      <c r="B330" s="15" t="s">
        <v>176</v>
      </c>
      <c r="C330" s="18"/>
      <c r="D330" s="16">
        <v>72.51</v>
      </c>
      <c r="E330" s="17"/>
      <c r="F330" s="17">
        <v>12.28</v>
      </c>
      <c r="G330" s="17"/>
      <c r="H330" s="16"/>
      <c r="I330" s="17"/>
      <c r="J330" s="17"/>
      <c r="K330" s="17"/>
      <c r="L330" s="17"/>
      <c r="M330" s="22"/>
      <c r="N330" s="17"/>
      <c r="O330" s="22"/>
      <c r="P330" s="19"/>
    </row>
    <row r="331" ht="12" customHeight="1" spans="1:16">
      <c r="A331" s="14"/>
      <c r="B331" s="15"/>
      <c r="C331" s="18">
        <v>25</v>
      </c>
      <c r="D331" s="16"/>
      <c r="E331" s="17">
        <v>1699.38</v>
      </c>
      <c r="F331" s="17"/>
      <c r="G331" s="17">
        <v>272.13</v>
      </c>
      <c r="H331" s="16"/>
      <c r="I331" s="17"/>
      <c r="J331" s="17"/>
      <c r="K331" s="17"/>
      <c r="L331" s="17"/>
      <c r="M331" s="22"/>
      <c r="N331" s="17"/>
      <c r="O331" s="22"/>
      <c r="P331" s="19">
        <f t="shared" ref="P331:P335" si="53">I331+K331-M331-O331</f>
        <v>0</v>
      </c>
    </row>
    <row r="332" ht="12" customHeight="1" spans="1:16">
      <c r="A332" s="14">
        <v>162</v>
      </c>
      <c r="B332" s="15" t="s">
        <v>177</v>
      </c>
      <c r="C332" s="18"/>
      <c r="D332" s="16">
        <v>63.44</v>
      </c>
      <c r="E332" s="17"/>
      <c r="F332" s="17">
        <v>9.49</v>
      </c>
      <c r="G332" s="17"/>
      <c r="H332" s="16"/>
      <c r="I332" s="17"/>
      <c r="J332" s="17"/>
      <c r="K332" s="17"/>
      <c r="L332" s="17"/>
      <c r="M332" s="22"/>
      <c r="N332" s="17"/>
      <c r="O332" s="22"/>
      <c r="P332" s="19"/>
    </row>
    <row r="333" ht="12" customHeight="1" spans="1:16">
      <c r="A333" s="14"/>
      <c r="B333" s="15"/>
      <c r="C333" s="18">
        <v>25</v>
      </c>
      <c r="D333" s="16"/>
      <c r="E333" s="17">
        <v>1319.75</v>
      </c>
      <c r="F333" s="17"/>
      <c r="G333" s="17">
        <v>206.25</v>
      </c>
      <c r="H333" s="16"/>
      <c r="I333" s="17"/>
      <c r="J333" s="17"/>
      <c r="K333" s="17"/>
      <c r="L333" s="17"/>
      <c r="M333" s="22"/>
      <c r="N333" s="17"/>
      <c r="O333" s="22"/>
      <c r="P333" s="19">
        <f t="shared" si="53"/>
        <v>0</v>
      </c>
    </row>
    <row r="334" ht="12" customHeight="1" spans="1:16">
      <c r="A334" s="14">
        <v>163</v>
      </c>
      <c r="B334" s="15" t="s">
        <v>178</v>
      </c>
      <c r="C334" s="18"/>
      <c r="D334" s="16">
        <v>42.14</v>
      </c>
      <c r="E334" s="17"/>
      <c r="F334" s="17">
        <v>7.01</v>
      </c>
      <c r="G334" s="17"/>
      <c r="H334" s="16"/>
      <c r="I334" s="17"/>
      <c r="J334" s="17"/>
      <c r="K334" s="17"/>
      <c r="L334" s="17"/>
      <c r="M334" s="22"/>
      <c r="N334" s="17"/>
      <c r="O334" s="22"/>
      <c r="P334" s="19"/>
    </row>
    <row r="335" ht="12" customHeight="1" spans="1:16">
      <c r="A335" s="14"/>
      <c r="B335" s="15"/>
      <c r="C335" s="18">
        <v>25</v>
      </c>
      <c r="D335" s="16"/>
      <c r="E335" s="17">
        <v>897.38</v>
      </c>
      <c r="F335" s="17"/>
      <c r="G335" s="17">
        <v>150.25</v>
      </c>
      <c r="H335" s="16"/>
      <c r="I335" s="17"/>
      <c r="J335" s="17"/>
      <c r="K335" s="17"/>
      <c r="L335" s="17"/>
      <c r="M335" s="22"/>
      <c r="N335" s="17"/>
      <c r="O335" s="22"/>
      <c r="P335" s="19">
        <f t="shared" si="53"/>
        <v>0</v>
      </c>
    </row>
    <row r="336" ht="12" customHeight="1" spans="1:16">
      <c r="A336" s="14">
        <v>164</v>
      </c>
      <c r="B336" s="15" t="s">
        <v>179</v>
      </c>
      <c r="C336" s="18"/>
      <c r="D336" s="16">
        <v>29.65</v>
      </c>
      <c r="E336" s="17"/>
      <c r="F336" s="17">
        <v>5.01</v>
      </c>
      <c r="G336" s="17"/>
      <c r="H336" s="16"/>
      <c r="I336" s="17"/>
      <c r="J336" s="17"/>
      <c r="K336" s="17"/>
      <c r="L336" s="17"/>
      <c r="M336" s="22"/>
      <c r="N336" s="17"/>
      <c r="O336" s="22"/>
      <c r="P336" s="19"/>
    </row>
    <row r="337" ht="12" customHeight="1" spans="1:16">
      <c r="A337" s="14"/>
      <c r="B337" s="15"/>
      <c r="C337" s="18">
        <v>25</v>
      </c>
      <c r="D337" s="16"/>
      <c r="E337" s="17">
        <v>522.63</v>
      </c>
      <c r="F337" s="17"/>
      <c r="G337" s="17">
        <v>96.25</v>
      </c>
      <c r="H337" s="16"/>
      <c r="I337" s="17"/>
      <c r="J337" s="17"/>
      <c r="K337" s="17"/>
      <c r="L337" s="17"/>
      <c r="M337" s="22"/>
      <c r="N337" s="17"/>
      <c r="O337" s="22"/>
      <c r="P337" s="19">
        <f t="shared" ref="P337:P341" si="54">I337+K337-M337-O337</f>
        <v>0</v>
      </c>
    </row>
    <row r="338" ht="12" customHeight="1" spans="1:16">
      <c r="A338" s="14">
        <v>165</v>
      </c>
      <c r="B338" s="15" t="s">
        <v>180</v>
      </c>
      <c r="C338" s="18"/>
      <c r="D338" s="16">
        <v>12.16</v>
      </c>
      <c r="E338" s="17"/>
      <c r="F338" s="17">
        <v>2.69</v>
      </c>
      <c r="G338" s="17"/>
      <c r="H338" s="16"/>
      <c r="I338" s="17"/>
      <c r="J338" s="17"/>
      <c r="K338" s="17"/>
      <c r="L338" s="17"/>
      <c r="M338" s="22"/>
      <c r="N338" s="17"/>
      <c r="O338" s="22"/>
      <c r="P338" s="19"/>
    </row>
    <row r="339" ht="12" customHeight="1" spans="1:16">
      <c r="A339" s="14"/>
      <c r="B339" s="15"/>
      <c r="C339" s="18">
        <v>25</v>
      </c>
      <c r="D339" s="16"/>
      <c r="E339" s="17">
        <v>152</v>
      </c>
      <c r="F339" s="17"/>
      <c r="G339" s="17">
        <v>33.63</v>
      </c>
      <c r="H339" s="16"/>
      <c r="I339" s="17"/>
      <c r="J339" s="17"/>
      <c r="K339" s="17"/>
      <c r="L339" s="17"/>
      <c r="M339" s="22"/>
      <c r="N339" s="17"/>
      <c r="O339" s="22"/>
      <c r="P339" s="19">
        <f t="shared" si="54"/>
        <v>0</v>
      </c>
    </row>
    <row r="340" ht="12" customHeight="1" spans="1:16">
      <c r="A340" s="14">
        <v>166</v>
      </c>
      <c r="B340" s="15" t="s">
        <v>181</v>
      </c>
      <c r="C340" s="18"/>
      <c r="D340" s="16">
        <v>0</v>
      </c>
      <c r="E340" s="17"/>
      <c r="F340" s="17">
        <v>0</v>
      </c>
      <c r="G340" s="17"/>
      <c r="H340" s="16"/>
      <c r="I340" s="17"/>
      <c r="J340" s="17"/>
      <c r="K340" s="17"/>
      <c r="L340" s="17"/>
      <c r="M340" s="22"/>
      <c r="N340" s="17"/>
      <c r="O340" s="22"/>
      <c r="P340" s="19"/>
    </row>
    <row r="341" ht="12" customHeight="1" spans="1:16">
      <c r="A341" s="14"/>
      <c r="B341" s="15"/>
      <c r="C341" s="18">
        <v>25</v>
      </c>
      <c r="D341" s="16"/>
      <c r="E341" s="17">
        <v>0</v>
      </c>
      <c r="F341" s="17"/>
      <c r="G341" s="17">
        <v>0</v>
      </c>
      <c r="H341" s="16"/>
      <c r="I341" s="17"/>
      <c r="J341" s="17"/>
      <c r="K341" s="17"/>
      <c r="L341" s="17"/>
      <c r="M341" s="22"/>
      <c r="N341" s="17"/>
      <c r="O341" s="22"/>
      <c r="P341" s="19">
        <f t="shared" si="54"/>
        <v>0</v>
      </c>
    </row>
    <row r="342" ht="12" customHeight="1" spans="1:16">
      <c r="A342" s="14">
        <v>167</v>
      </c>
      <c r="B342" s="15" t="s">
        <v>182</v>
      </c>
      <c r="C342" s="18"/>
      <c r="D342" s="16">
        <v>0</v>
      </c>
      <c r="E342" s="17"/>
      <c r="F342" s="17">
        <v>0</v>
      </c>
      <c r="G342" s="17"/>
      <c r="H342" s="16"/>
      <c r="I342" s="17"/>
      <c r="J342" s="17"/>
      <c r="K342" s="17"/>
      <c r="L342" s="17"/>
      <c r="M342" s="22"/>
      <c r="N342" s="17"/>
      <c r="O342" s="22"/>
      <c r="P342" s="19"/>
    </row>
    <row r="343" ht="12" customHeight="1" spans="1:16">
      <c r="A343" s="14"/>
      <c r="B343" s="15"/>
      <c r="C343" s="18">
        <v>25</v>
      </c>
      <c r="D343" s="16"/>
      <c r="E343" s="17">
        <v>0</v>
      </c>
      <c r="F343" s="17"/>
      <c r="G343" s="17">
        <v>0</v>
      </c>
      <c r="H343" s="16"/>
      <c r="I343" s="17"/>
      <c r="J343" s="17"/>
      <c r="K343" s="17"/>
      <c r="L343" s="17"/>
      <c r="M343" s="22"/>
      <c r="N343" s="17"/>
      <c r="O343" s="22"/>
      <c r="P343" s="19">
        <f t="shared" ref="P343:P347" si="55">I343+K343-M343-O343</f>
        <v>0</v>
      </c>
    </row>
    <row r="344" ht="12" customHeight="1" spans="1:16">
      <c r="A344" s="14">
        <v>168</v>
      </c>
      <c r="B344" s="15" t="s">
        <v>183</v>
      </c>
      <c r="C344" s="18"/>
      <c r="D344" s="16">
        <v>0</v>
      </c>
      <c r="E344" s="17"/>
      <c r="F344" s="17">
        <v>0</v>
      </c>
      <c r="G344" s="17"/>
      <c r="H344" s="16"/>
      <c r="I344" s="17"/>
      <c r="J344" s="17"/>
      <c r="K344" s="17"/>
      <c r="L344" s="17"/>
      <c r="M344" s="22"/>
      <c r="N344" s="17"/>
      <c r="O344" s="22"/>
      <c r="P344" s="19"/>
    </row>
    <row r="345" ht="12" customHeight="1" spans="1:16">
      <c r="A345" s="14"/>
      <c r="B345" s="15"/>
      <c r="C345" s="18">
        <v>25</v>
      </c>
      <c r="D345" s="16"/>
      <c r="E345" s="17">
        <v>0</v>
      </c>
      <c r="F345" s="17"/>
      <c r="G345" s="17">
        <v>0</v>
      </c>
      <c r="H345" s="16"/>
      <c r="I345" s="17"/>
      <c r="J345" s="17"/>
      <c r="K345" s="17"/>
      <c r="L345" s="17"/>
      <c r="M345" s="22"/>
      <c r="N345" s="17"/>
      <c r="O345" s="22"/>
      <c r="P345" s="19">
        <f t="shared" si="55"/>
        <v>0</v>
      </c>
    </row>
    <row r="346" ht="12" customHeight="1" spans="1:16">
      <c r="A346" s="14">
        <v>169</v>
      </c>
      <c r="B346" s="15" t="s">
        <v>184</v>
      </c>
      <c r="C346" s="18"/>
      <c r="D346" s="16">
        <v>0</v>
      </c>
      <c r="E346" s="17"/>
      <c r="F346" s="17">
        <v>0</v>
      </c>
      <c r="G346" s="17"/>
      <c r="H346" s="16"/>
      <c r="I346" s="17"/>
      <c r="J346" s="17"/>
      <c r="K346" s="17"/>
      <c r="L346" s="17"/>
      <c r="M346" s="22"/>
      <c r="N346" s="17"/>
      <c r="O346" s="22"/>
      <c r="P346" s="19"/>
    </row>
    <row r="347" ht="12" customHeight="1" spans="1:16">
      <c r="A347" s="14"/>
      <c r="B347" s="15"/>
      <c r="C347" s="18">
        <v>25</v>
      </c>
      <c r="D347" s="16"/>
      <c r="E347" s="17">
        <v>0</v>
      </c>
      <c r="F347" s="17"/>
      <c r="G347" s="17">
        <v>0</v>
      </c>
      <c r="H347" s="16"/>
      <c r="I347" s="17"/>
      <c r="J347" s="17"/>
      <c r="K347" s="17"/>
      <c r="L347" s="17"/>
      <c r="M347" s="22"/>
      <c r="N347" s="17"/>
      <c r="O347" s="22"/>
      <c r="P347" s="19">
        <f t="shared" si="55"/>
        <v>0</v>
      </c>
    </row>
    <row r="348" ht="12" customHeight="1" spans="1:16">
      <c r="A348" s="14">
        <v>170</v>
      </c>
      <c r="B348" s="15" t="s">
        <v>185</v>
      </c>
      <c r="C348" s="18"/>
      <c r="D348" s="16">
        <v>0</v>
      </c>
      <c r="E348" s="17"/>
      <c r="F348" s="17">
        <v>0</v>
      </c>
      <c r="G348" s="17"/>
      <c r="H348" s="16"/>
      <c r="I348" s="17"/>
      <c r="J348" s="17"/>
      <c r="K348" s="17"/>
      <c r="L348" s="17"/>
      <c r="M348" s="22"/>
      <c r="N348" s="17"/>
      <c r="O348" s="22"/>
      <c r="P348" s="19"/>
    </row>
    <row r="349" ht="12" customHeight="1" spans="1:16">
      <c r="A349" s="14"/>
      <c r="B349" s="15"/>
      <c r="C349" s="18">
        <v>25</v>
      </c>
      <c r="D349" s="16"/>
      <c r="E349" s="17">
        <v>0</v>
      </c>
      <c r="F349" s="17"/>
      <c r="G349" s="17">
        <v>0</v>
      </c>
      <c r="H349" s="16"/>
      <c r="I349" s="17"/>
      <c r="J349" s="17"/>
      <c r="K349" s="17"/>
      <c r="L349" s="17"/>
      <c r="M349" s="22"/>
      <c r="N349" s="17"/>
      <c r="O349" s="22"/>
      <c r="P349" s="19">
        <f t="shared" ref="P349:P353" si="56">I349+K349-M349-O349</f>
        <v>0</v>
      </c>
    </row>
    <row r="350" ht="12" customHeight="1" spans="1:16">
      <c r="A350" s="14">
        <v>171</v>
      </c>
      <c r="B350" s="15" t="s">
        <v>186</v>
      </c>
      <c r="C350" s="18"/>
      <c r="D350" s="16">
        <v>0</v>
      </c>
      <c r="E350" s="17"/>
      <c r="F350" s="17">
        <v>0</v>
      </c>
      <c r="G350" s="17"/>
      <c r="H350" s="16"/>
      <c r="I350" s="17"/>
      <c r="J350" s="17"/>
      <c r="K350" s="17"/>
      <c r="L350" s="17"/>
      <c r="M350" s="22"/>
      <c r="N350" s="17"/>
      <c r="O350" s="22"/>
      <c r="P350" s="19"/>
    </row>
    <row r="351" ht="12" customHeight="1" spans="1:16">
      <c r="A351" s="14"/>
      <c r="B351" s="15"/>
      <c r="C351" s="18">
        <v>25</v>
      </c>
      <c r="D351" s="16"/>
      <c r="E351" s="17">
        <v>0</v>
      </c>
      <c r="F351" s="17"/>
      <c r="G351" s="17">
        <v>0</v>
      </c>
      <c r="H351" s="16"/>
      <c r="I351" s="17"/>
      <c r="J351" s="17"/>
      <c r="K351" s="17"/>
      <c r="L351" s="17"/>
      <c r="M351" s="22"/>
      <c r="N351" s="17"/>
      <c r="O351" s="22"/>
      <c r="P351" s="19">
        <f t="shared" si="56"/>
        <v>0</v>
      </c>
    </row>
    <row r="352" ht="12" customHeight="1" spans="1:16">
      <c r="A352" s="14">
        <v>172</v>
      </c>
      <c r="B352" s="15" t="s">
        <v>187</v>
      </c>
      <c r="C352" s="18"/>
      <c r="D352" s="16">
        <v>0</v>
      </c>
      <c r="E352" s="17"/>
      <c r="F352" s="17">
        <v>0</v>
      </c>
      <c r="G352" s="17"/>
      <c r="H352" s="16"/>
      <c r="I352" s="17"/>
      <c r="J352" s="17"/>
      <c r="K352" s="17"/>
      <c r="L352" s="17"/>
      <c r="M352" s="22"/>
      <c r="N352" s="17"/>
      <c r="O352" s="22"/>
      <c r="P352" s="19"/>
    </row>
    <row r="353" ht="12" customHeight="1" spans="1:16">
      <c r="A353" s="14"/>
      <c r="B353" s="15"/>
      <c r="C353" s="18">
        <v>25</v>
      </c>
      <c r="D353" s="16"/>
      <c r="E353" s="17">
        <v>0</v>
      </c>
      <c r="F353" s="17"/>
      <c r="G353" s="17">
        <v>0</v>
      </c>
      <c r="H353" s="16"/>
      <c r="I353" s="17"/>
      <c r="J353" s="17"/>
      <c r="K353" s="17"/>
      <c r="L353" s="17"/>
      <c r="M353" s="22"/>
      <c r="N353" s="17"/>
      <c r="O353" s="22"/>
      <c r="P353" s="19">
        <f t="shared" si="56"/>
        <v>0</v>
      </c>
    </row>
    <row r="354" ht="12" customHeight="1" spans="1:16">
      <c r="A354" s="14">
        <v>173</v>
      </c>
      <c r="B354" s="15" t="s">
        <v>188</v>
      </c>
      <c r="C354" s="18"/>
      <c r="D354" s="16">
        <v>0</v>
      </c>
      <c r="E354" s="17"/>
      <c r="F354" s="17">
        <v>0</v>
      </c>
      <c r="G354" s="17"/>
      <c r="H354" s="16"/>
      <c r="I354" s="17"/>
      <c r="J354" s="17"/>
      <c r="K354" s="17"/>
      <c r="L354" s="17"/>
      <c r="M354" s="22"/>
      <c r="N354" s="17"/>
      <c r="O354" s="22"/>
      <c r="P354" s="19"/>
    </row>
    <row r="355" ht="12" customHeight="1" spans="1:16">
      <c r="A355" s="14"/>
      <c r="B355" s="15"/>
      <c r="C355" s="18">
        <v>25</v>
      </c>
      <c r="D355" s="16"/>
      <c r="E355" s="17">
        <v>0</v>
      </c>
      <c r="F355" s="17"/>
      <c r="G355" s="17">
        <v>0</v>
      </c>
      <c r="H355" s="16"/>
      <c r="I355" s="17"/>
      <c r="J355" s="17"/>
      <c r="K355" s="17"/>
      <c r="L355" s="17"/>
      <c r="M355" s="22"/>
      <c r="N355" s="17"/>
      <c r="O355" s="22"/>
      <c r="P355" s="19">
        <f t="shared" ref="P355:P359" si="57">I355+K355-M355-O355</f>
        <v>0</v>
      </c>
    </row>
    <row r="356" ht="12" customHeight="1" spans="1:16">
      <c r="A356" s="14">
        <v>174</v>
      </c>
      <c r="B356" s="15" t="s">
        <v>189</v>
      </c>
      <c r="C356" s="18"/>
      <c r="D356" s="16">
        <v>0</v>
      </c>
      <c r="E356" s="17"/>
      <c r="F356" s="17">
        <v>0</v>
      </c>
      <c r="G356" s="17"/>
      <c r="H356" s="16"/>
      <c r="I356" s="17"/>
      <c r="J356" s="17"/>
      <c r="K356" s="17"/>
      <c r="L356" s="17"/>
      <c r="M356" s="22"/>
      <c r="N356" s="17"/>
      <c r="O356" s="22"/>
      <c r="P356" s="19"/>
    </row>
    <row r="357" ht="12" customHeight="1" spans="1:16">
      <c r="A357" s="14"/>
      <c r="B357" s="15"/>
      <c r="C357" s="18">
        <v>25</v>
      </c>
      <c r="D357" s="16"/>
      <c r="E357" s="17">
        <v>0</v>
      </c>
      <c r="F357" s="17"/>
      <c r="G357" s="17">
        <v>0</v>
      </c>
      <c r="H357" s="16"/>
      <c r="I357" s="17"/>
      <c r="J357" s="17"/>
      <c r="K357" s="17"/>
      <c r="L357" s="17"/>
      <c r="M357" s="22"/>
      <c r="N357" s="17"/>
      <c r="O357" s="22"/>
      <c r="P357" s="19">
        <f t="shared" si="57"/>
        <v>0</v>
      </c>
    </row>
    <row r="358" ht="12" customHeight="1" spans="1:16">
      <c r="A358" s="14">
        <v>175</v>
      </c>
      <c r="B358" s="15" t="s">
        <v>190</v>
      </c>
      <c r="C358" s="18"/>
      <c r="D358" s="16">
        <v>0</v>
      </c>
      <c r="E358" s="17"/>
      <c r="F358" s="17">
        <v>0</v>
      </c>
      <c r="G358" s="17"/>
      <c r="H358" s="16"/>
      <c r="I358" s="17"/>
      <c r="J358" s="17"/>
      <c r="K358" s="17"/>
      <c r="L358" s="17"/>
      <c r="M358" s="22"/>
      <c r="N358" s="17"/>
      <c r="O358" s="22"/>
      <c r="P358" s="19"/>
    </row>
    <row r="359" ht="12" customHeight="1" spans="1:16">
      <c r="A359" s="14"/>
      <c r="B359" s="15"/>
      <c r="C359" s="18">
        <v>25</v>
      </c>
      <c r="D359" s="16"/>
      <c r="E359" s="17">
        <v>0</v>
      </c>
      <c r="F359" s="17"/>
      <c r="G359" s="17">
        <v>0</v>
      </c>
      <c r="H359" s="16"/>
      <c r="I359" s="17"/>
      <c r="J359" s="17"/>
      <c r="K359" s="17"/>
      <c r="L359" s="17"/>
      <c r="M359" s="22"/>
      <c r="N359" s="17"/>
      <c r="O359" s="22"/>
      <c r="P359" s="19">
        <f t="shared" si="57"/>
        <v>0</v>
      </c>
    </row>
    <row r="360" ht="12" customHeight="1" spans="1:16">
      <c r="A360" s="14">
        <v>176</v>
      </c>
      <c r="B360" s="15" t="s">
        <v>191</v>
      </c>
      <c r="C360" s="18"/>
      <c r="D360" s="16">
        <v>0</v>
      </c>
      <c r="E360" s="17"/>
      <c r="F360" s="17">
        <v>0</v>
      </c>
      <c r="G360" s="17"/>
      <c r="H360" s="16"/>
      <c r="I360" s="17"/>
      <c r="J360" s="17"/>
      <c r="K360" s="17"/>
      <c r="L360" s="17"/>
      <c r="M360" s="22"/>
      <c r="N360" s="17"/>
      <c r="O360" s="22"/>
      <c r="P360" s="19"/>
    </row>
    <row r="361" ht="12" customHeight="1" spans="1:16">
      <c r="A361" s="14"/>
      <c r="B361" s="15"/>
      <c r="C361" s="18">
        <v>25</v>
      </c>
      <c r="D361" s="16"/>
      <c r="E361" s="17">
        <v>208.63</v>
      </c>
      <c r="F361" s="17"/>
      <c r="G361" s="17">
        <v>712.25</v>
      </c>
      <c r="H361" s="16"/>
      <c r="I361" s="17"/>
      <c r="J361" s="17"/>
      <c r="K361" s="17"/>
      <c r="L361" s="17"/>
      <c r="M361" s="22"/>
      <c r="N361" s="17"/>
      <c r="O361" s="22"/>
      <c r="P361" s="19">
        <f t="shared" ref="P361:P365" si="58">I361+K361-M361-O361</f>
        <v>0</v>
      </c>
    </row>
    <row r="362" ht="12" customHeight="1" spans="1:16">
      <c r="A362" s="14">
        <v>177</v>
      </c>
      <c r="B362" s="15" t="s">
        <v>192</v>
      </c>
      <c r="C362" s="18"/>
      <c r="D362" s="16">
        <v>16.69</v>
      </c>
      <c r="E362" s="17"/>
      <c r="F362" s="17">
        <v>56.98</v>
      </c>
      <c r="G362" s="17"/>
      <c r="H362" s="16"/>
      <c r="I362" s="17"/>
      <c r="J362" s="17"/>
      <c r="K362" s="17"/>
      <c r="L362" s="17"/>
      <c r="M362" s="22"/>
      <c r="N362" s="17"/>
      <c r="O362" s="22"/>
      <c r="P362" s="19"/>
    </row>
    <row r="363" ht="12" customHeight="1" spans="1:16">
      <c r="A363" s="14"/>
      <c r="B363" s="15"/>
      <c r="C363" s="23">
        <v>25</v>
      </c>
      <c r="D363" s="16"/>
      <c r="E363" s="24">
        <v>2586.38</v>
      </c>
      <c r="F363" s="17"/>
      <c r="G363" s="24">
        <v>1841.88</v>
      </c>
      <c r="H363" s="16"/>
      <c r="I363" s="24"/>
      <c r="J363" s="17"/>
      <c r="K363" s="24"/>
      <c r="L363" s="17"/>
      <c r="M363" s="24"/>
      <c r="N363" s="17"/>
      <c r="O363" s="24"/>
      <c r="P363" s="19">
        <f t="shared" si="58"/>
        <v>0</v>
      </c>
    </row>
    <row r="364" ht="12" customHeight="1" spans="1:16">
      <c r="A364" s="14">
        <v>178</v>
      </c>
      <c r="B364" s="15" t="s">
        <v>193</v>
      </c>
      <c r="C364" s="25"/>
      <c r="D364" s="16">
        <v>190.22</v>
      </c>
      <c r="E364" s="26"/>
      <c r="F364" s="17">
        <v>90.37</v>
      </c>
      <c r="G364" s="26"/>
      <c r="H364" s="16"/>
      <c r="I364" s="26"/>
      <c r="J364" s="17"/>
      <c r="K364" s="26"/>
      <c r="L364" s="17"/>
      <c r="M364" s="26"/>
      <c r="N364" s="17"/>
      <c r="O364" s="26"/>
      <c r="P364" s="19"/>
    </row>
    <row r="365" ht="12" customHeight="1" spans="1:16">
      <c r="A365" s="14"/>
      <c r="B365" s="15"/>
      <c r="C365" s="18">
        <v>25</v>
      </c>
      <c r="D365" s="16"/>
      <c r="E365" s="17">
        <v>5684</v>
      </c>
      <c r="F365" s="17"/>
      <c r="G365" s="17">
        <v>2614</v>
      </c>
      <c r="H365" s="16"/>
      <c r="I365" s="17"/>
      <c r="J365" s="17"/>
      <c r="K365" s="17"/>
      <c r="L365" s="17"/>
      <c r="M365" s="22"/>
      <c r="N365" s="17"/>
      <c r="O365" s="22"/>
      <c r="P365" s="19">
        <f t="shared" si="58"/>
        <v>0</v>
      </c>
    </row>
    <row r="366" ht="12" customHeight="1" spans="1:16">
      <c r="A366" s="14">
        <v>179</v>
      </c>
      <c r="B366" s="15" t="s">
        <v>194</v>
      </c>
      <c r="C366" s="18"/>
      <c r="D366" s="16">
        <v>264.5</v>
      </c>
      <c r="E366" s="17"/>
      <c r="F366" s="17">
        <v>118.75</v>
      </c>
      <c r="G366" s="17"/>
      <c r="H366" s="16"/>
      <c r="I366" s="17"/>
      <c r="J366" s="17"/>
      <c r="K366" s="17"/>
      <c r="L366" s="17"/>
      <c r="M366" s="22"/>
      <c r="N366" s="17"/>
      <c r="O366" s="22"/>
      <c r="P366" s="19"/>
    </row>
    <row r="367" ht="12" customHeight="1" spans="1:16">
      <c r="A367" s="14"/>
      <c r="B367" s="15"/>
      <c r="C367" s="18">
        <v>25</v>
      </c>
      <c r="D367" s="16"/>
      <c r="E367" s="17">
        <v>8590.25</v>
      </c>
      <c r="F367" s="17"/>
      <c r="G367" s="17">
        <v>2898.63</v>
      </c>
      <c r="H367" s="16"/>
      <c r="I367" s="17"/>
      <c r="J367" s="17"/>
      <c r="K367" s="17"/>
      <c r="L367" s="17"/>
      <c r="M367" s="22"/>
      <c r="N367" s="17"/>
      <c r="O367" s="22"/>
      <c r="P367" s="19">
        <f t="shared" ref="P367:P371" si="59">I367+K367-M367-O367</f>
        <v>0</v>
      </c>
    </row>
    <row r="368" ht="12" customHeight="1" spans="1:16">
      <c r="A368" s="14">
        <v>180</v>
      </c>
      <c r="B368" s="15" t="s">
        <v>195</v>
      </c>
      <c r="C368" s="18"/>
      <c r="D368" s="16">
        <v>422.72</v>
      </c>
      <c r="E368" s="17"/>
      <c r="F368" s="17">
        <v>113.14</v>
      </c>
      <c r="G368" s="17"/>
      <c r="H368" s="16"/>
      <c r="I368" s="17"/>
      <c r="J368" s="17"/>
      <c r="K368" s="17"/>
      <c r="L368" s="17"/>
      <c r="M368" s="22"/>
      <c r="N368" s="17"/>
      <c r="O368" s="22"/>
      <c r="P368" s="19"/>
    </row>
    <row r="369" ht="12" customHeight="1" spans="1:16">
      <c r="A369" s="14"/>
      <c r="B369" s="15"/>
      <c r="C369" s="23">
        <v>25</v>
      </c>
      <c r="D369" s="16"/>
      <c r="E369" s="17">
        <v>10663.5</v>
      </c>
      <c r="F369" s="17"/>
      <c r="G369" s="17">
        <v>2283.25</v>
      </c>
      <c r="H369" s="16"/>
      <c r="I369" s="17"/>
      <c r="J369" s="17"/>
      <c r="K369" s="17"/>
      <c r="L369" s="17"/>
      <c r="M369" s="22"/>
      <c r="N369" s="17"/>
      <c r="O369" s="22"/>
      <c r="P369" s="19">
        <f t="shared" si="59"/>
        <v>0</v>
      </c>
    </row>
    <row r="370" ht="12" customHeight="1" spans="1:16">
      <c r="A370" s="14">
        <v>181</v>
      </c>
      <c r="B370" s="15" t="s">
        <v>196</v>
      </c>
      <c r="C370" s="25"/>
      <c r="D370" s="16">
        <v>430.36</v>
      </c>
      <c r="E370" s="17"/>
      <c r="F370" s="17">
        <v>69.52</v>
      </c>
      <c r="G370" s="17"/>
      <c r="H370" s="16"/>
      <c r="I370" s="17"/>
      <c r="J370" s="17"/>
      <c r="K370" s="17"/>
      <c r="L370" s="17"/>
      <c r="M370" s="22"/>
      <c r="N370" s="17"/>
      <c r="O370" s="22"/>
      <c r="P370" s="19"/>
    </row>
    <row r="371" ht="12" customHeight="1" spans="1:16">
      <c r="A371" s="14"/>
      <c r="B371" s="15"/>
      <c r="C371" s="18">
        <v>25</v>
      </c>
      <c r="D371" s="16"/>
      <c r="E371" s="17">
        <v>12405</v>
      </c>
      <c r="F371" s="17"/>
      <c r="G371" s="17">
        <v>1885.88</v>
      </c>
      <c r="H371" s="16"/>
      <c r="I371" s="17"/>
      <c r="J371" s="17"/>
      <c r="K371" s="17"/>
      <c r="L371" s="17"/>
      <c r="M371" s="22"/>
      <c r="N371" s="17"/>
      <c r="O371" s="22"/>
      <c r="P371" s="19">
        <f t="shared" si="59"/>
        <v>0</v>
      </c>
    </row>
    <row r="372" ht="12" customHeight="1" spans="1:16">
      <c r="A372" s="14">
        <v>182</v>
      </c>
      <c r="B372" s="15" t="s">
        <v>197</v>
      </c>
      <c r="C372" s="18"/>
      <c r="D372" s="16">
        <v>562.04</v>
      </c>
      <c r="E372" s="17"/>
      <c r="F372" s="17">
        <v>81.35</v>
      </c>
      <c r="G372" s="17"/>
      <c r="H372" s="16"/>
      <c r="I372" s="17"/>
      <c r="J372" s="17"/>
      <c r="K372" s="17"/>
      <c r="L372" s="17"/>
      <c r="M372" s="22"/>
      <c r="N372" s="17"/>
      <c r="O372" s="22"/>
      <c r="P372" s="19"/>
    </row>
    <row r="373" ht="12" customHeight="1" spans="1:16">
      <c r="A373" s="14"/>
      <c r="B373" s="15"/>
      <c r="C373" s="18">
        <v>25</v>
      </c>
      <c r="D373" s="16"/>
      <c r="E373" s="17">
        <v>11647.38</v>
      </c>
      <c r="F373" s="17"/>
      <c r="G373" s="17">
        <v>1722.88</v>
      </c>
      <c r="H373" s="16"/>
      <c r="I373" s="17"/>
      <c r="J373" s="17"/>
      <c r="K373" s="17"/>
      <c r="L373" s="17"/>
      <c r="M373" s="22"/>
      <c r="N373" s="17"/>
      <c r="O373" s="22"/>
      <c r="P373" s="19">
        <f t="shared" ref="P373:P377" si="60">I373+K373-M373-O373</f>
        <v>0</v>
      </c>
    </row>
    <row r="374" ht="12" customHeight="1" spans="1:16">
      <c r="A374" s="14">
        <v>183</v>
      </c>
      <c r="B374" s="15" t="s">
        <v>198</v>
      </c>
      <c r="C374" s="18"/>
      <c r="D374" s="16">
        <v>369.75</v>
      </c>
      <c r="E374" s="17"/>
      <c r="F374" s="17">
        <v>56.48</v>
      </c>
      <c r="G374" s="17"/>
      <c r="H374" s="16"/>
      <c r="I374" s="17"/>
      <c r="J374" s="17"/>
      <c r="K374" s="17"/>
      <c r="L374" s="17"/>
      <c r="M374" s="22"/>
      <c r="N374" s="17"/>
      <c r="O374" s="22"/>
      <c r="P374" s="19"/>
    </row>
    <row r="375" ht="12" customHeight="1" spans="1:16">
      <c r="A375" s="14"/>
      <c r="B375" s="15"/>
      <c r="C375" s="23">
        <v>25</v>
      </c>
      <c r="D375" s="16"/>
      <c r="E375" s="17">
        <v>7878.25</v>
      </c>
      <c r="F375" s="17"/>
      <c r="G375" s="17">
        <v>1308.38</v>
      </c>
      <c r="H375" s="16"/>
      <c r="I375" s="17"/>
      <c r="J375" s="17"/>
      <c r="K375" s="17"/>
      <c r="L375" s="17"/>
      <c r="M375" s="22"/>
      <c r="N375" s="17"/>
      <c r="O375" s="22"/>
      <c r="P375" s="19">
        <f t="shared" si="60"/>
        <v>0</v>
      </c>
    </row>
    <row r="376" ht="12" customHeight="1" spans="1:16">
      <c r="A376" s="14">
        <v>184</v>
      </c>
      <c r="B376" s="15" t="s">
        <v>199</v>
      </c>
      <c r="C376" s="25"/>
      <c r="D376" s="16">
        <v>260.51</v>
      </c>
      <c r="E376" s="17"/>
      <c r="F376" s="17">
        <v>48.19</v>
      </c>
      <c r="G376" s="17"/>
      <c r="H376" s="16"/>
      <c r="I376" s="17"/>
      <c r="J376" s="17"/>
      <c r="K376" s="17"/>
      <c r="L376" s="17"/>
      <c r="M376" s="22"/>
      <c r="N376" s="17"/>
      <c r="O376" s="22"/>
      <c r="P376" s="19"/>
    </row>
    <row r="377" ht="12" customHeight="1" spans="1:16">
      <c r="A377" s="14"/>
      <c r="B377" s="15"/>
      <c r="C377" s="18">
        <v>25</v>
      </c>
      <c r="D377" s="16"/>
      <c r="E377" s="17">
        <v>6143.25</v>
      </c>
      <c r="F377" s="17"/>
      <c r="G377" s="17">
        <v>976.25</v>
      </c>
      <c r="H377" s="16"/>
      <c r="I377" s="17"/>
      <c r="J377" s="17"/>
      <c r="K377" s="17"/>
      <c r="L377" s="17"/>
      <c r="M377" s="22"/>
      <c r="N377" s="17"/>
      <c r="O377" s="22"/>
      <c r="P377" s="19">
        <f t="shared" si="60"/>
        <v>0</v>
      </c>
    </row>
    <row r="378" ht="12" customHeight="1" spans="1:16">
      <c r="A378" s="14">
        <v>185</v>
      </c>
      <c r="B378" s="15" t="s">
        <v>200</v>
      </c>
      <c r="C378" s="18"/>
      <c r="D378" s="16">
        <v>230.95</v>
      </c>
      <c r="E378" s="17"/>
      <c r="F378" s="17">
        <v>29.91</v>
      </c>
      <c r="G378" s="17"/>
      <c r="H378" s="16"/>
      <c r="I378" s="17"/>
      <c r="J378" s="17"/>
      <c r="K378" s="17"/>
      <c r="L378" s="17"/>
      <c r="M378" s="22"/>
      <c r="N378" s="17"/>
      <c r="O378" s="22"/>
      <c r="P378" s="19"/>
    </row>
    <row r="379" ht="12" customHeight="1" spans="1:16">
      <c r="A379" s="14"/>
      <c r="B379" s="15"/>
      <c r="C379" s="18">
        <v>25</v>
      </c>
      <c r="D379" s="16"/>
      <c r="E379" s="17">
        <v>5157.63</v>
      </c>
      <c r="F379" s="17"/>
      <c r="G379" s="17">
        <v>700.38</v>
      </c>
      <c r="H379" s="16"/>
      <c r="I379" s="17"/>
      <c r="J379" s="17"/>
      <c r="K379" s="17"/>
      <c r="L379" s="17"/>
      <c r="M379" s="22"/>
      <c r="N379" s="17"/>
      <c r="O379" s="22"/>
      <c r="P379" s="19">
        <f t="shared" ref="P379:P383" si="61">I379+K379-M379-O379</f>
        <v>0</v>
      </c>
    </row>
    <row r="380" ht="12" customHeight="1" spans="1:16">
      <c r="A380" s="14">
        <v>186</v>
      </c>
      <c r="B380" s="15" t="s">
        <v>201</v>
      </c>
      <c r="C380" s="18"/>
      <c r="D380" s="16">
        <v>181.66</v>
      </c>
      <c r="E380" s="17"/>
      <c r="F380" s="17">
        <v>26.12</v>
      </c>
      <c r="G380" s="17"/>
      <c r="H380" s="16"/>
      <c r="I380" s="17"/>
      <c r="J380" s="17"/>
      <c r="K380" s="17"/>
      <c r="L380" s="17"/>
      <c r="M380" s="22"/>
      <c r="N380" s="17"/>
      <c r="O380" s="22"/>
      <c r="P380" s="19"/>
    </row>
    <row r="381" ht="12" customHeight="1" spans="1:16">
      <c r="A381" s="14"/>
      <c r="B381" s="15"/>
      <c r="C381" s="23">
        <v>25</v>
      </c>
      <c r="D381" s="16"/>
      <c r="E381" s="17">
        <v>3668.38</v>
      </c>
      <c r="F381" s="17"/>
      <c r="G381" s="17">
        <v>565.5</v>
      </c>
      <c r="H381" s="16"/>
      <c r="I381" s="17"/>
      <c r="J381" s="17"/>
      <c r="K381" s="17"/>
      <c r="L381" s="17"/>
      <c r="M381" s="22"/>
      <c r="N381" s="17"/>
      <c r="O381" s="22"/>
      <c r="P381" s="19">
        <f t="shared" si="61"/>
        <v>0</v>
      </c>
    </row>
    <row r="382" ht="12" customHeight="1" spans="1:16">
      <c r="A382" s="14">
        <v>187</v>
      </c>
      <c r="B382" s="15" t="s">
        <v>202</v>
      </c>
      <c r="C382" s="25"/>
      <c r="D382" s="16">
        <v>111.81</v>
      </c>
      <c r="E382" s="17"/>
      <c r="F382" s="17">
        <v>19.12</v>
      </c>
      <c r="G382" s="17"/>
      <c r="H382" s="16"/>
      <c r="I382" s="17"/>
      <c r="J382" s="17"/>
      <c r="K382" s="17"/>
      <c r="L382" s="17"/>
      <c r="M382" s="22"/>
      <c r="N382" s="17"/>
      <c r="O382" s="22"/>
      <c r="P382" s="19"/>
    </row>
    <row r="383" ht="12" customHeight="1" spans="1:16">
      <c r="A383" s="14"/>
      <c r="B383" s="15"/>
      <c r="C383" s="18">
        <v>25</v>
      </c>
      <c r="D383" s="16"/>
      <c r="E383" s="17">
        <v>2499.25</v>
      </c>
      <c r="F383" s="17"/>
      <c r="G383" s="17">
        <v>404.88</v>
      </c>
      <c r="H383" s="16"/>
      <c r="I383" s="17"/>
      <c r="J383" s="17"/>
      <c r="K383" s="17"/>
      <c r="L383" s="17"/>
      <c r="M383" s="22"/>
      <c r="N383" s="17"/>
      <c r="O383" s="22"/>
      <c r="P383" s="19">
        <f t="shared" si="61"/>
        <v>0</v>
      </c>
    </row>
    <row r="384" ht="12" customHeight="1" spans="1:16">
      <c r="A384" s="14">
        <v>188</v>
      </c>
      <c r="B384" s="15" t="s">
        <v>203</v>
      </c>
      <c r="C384" s="18"/>
      <c r="D384" s="16">
        <v>88.13</v>
      </c>
      <c r="E384" s="17"/>
      <c r="F384" s="17">
        <v>13.27</v>
      </c>
      <c r="G384" s="17"/>
      <c r="H384" s="16"/>
      <c r="I384" s="17"/>
      <c r="J384" s="17"/>
      <c r="K384" s="17"/>
      <c r="L384" s="17"/>
      <c r="M384" s="22"/>
      <c r="N384" s="17"/>
      <c r="O384" s="22"/>
      <c r="P384" s="19"/>
    </row>
    <row r="385" ht="12" customHeight="1" spans="1:16">
      <c r="A385" s="14"/>
      <c r="B385" s="15"/>
      <c r="C385" s="18">
        <v>25</v>
      </c>
      <c r="D385" s="16"/>
      <c r="E385" s="17">
        <v>2315.63</v>
      </c>
      <c r="F385" s="17"/>
      <c r="G385" s="17">
        <v>346.38</v>
      </c>
      <c r="H385" s="16"/>
      <c r="I385" s="17"/>
      <c r="J385" s="17"/>
      <c r="K385" s="17"/>
      <c r="L385" s="17"/>
      <c r="M385" s="22"/>
      <c r="N385" s="17"/>
      <c r="O385" s="22"/>
      <c r="P385" s="19">
        <f t="shared" ref="P385:P389" si="62">I385+K385-M385-O385</f>
        <v>0</v>
      </c>
    </row>
    <row r="386" ht="12" customHeight="1" spans="1:16">
      <c r="A386" s="14">
        <v>189</v>
      </c>
      <c r="B386" s="15" t="s">
        <v>204</v>
      </c>
      <c r="C386" s="18"/>
      <c r="D386" s="16">
        <v>97.12</v>
      </c>
      <c r="E386" s="17"/>
      <c r="F386" s="17">
        <v>14.44</v>
      </c>
      <c r="G386" s="17"/>
      <c r="H386" s="16"/>
      <c r="I386" s="17"/>
      <c r="J386" s="17"/>
      <c r="K386" s="17"/>
      <c r="L386" s="17"/>
      <c r="M386" s="22"/>
      <c r="N386" s="17"/>
      <c r="O386" s="22"/>
      <c r="P386" s="19"/>
    </row>
    <row r="387" ht="12" customHeight="1" spans="1:16">
      <c r="A387" s="14"/>
      <c r="B387" s="15"/>
      <c r="C387" s="23">
        <v>25</v>
      </c>
      <c r="D387" s="16"/>
      <c r="E387" s="17">
        <v>2720.38</v>
      </c>
      <c r="F387" s="17"/>
      <c r="G387" s="17">
        <v>383.5</v>
      </c>
      <c r="H387" s="16"/>
      <c r="I387" s="17"/>
      <c r="J387" s="17"/>
      <c r="K387" s="17"/>
      <c r="L387" s="17"/>
      <c r="M387" s="22"/>
      <c r="N387" s="17"/>
      <c r="O387" s="22"/>
      <c r="P387" s="19">
        <f t="shared" si="62"/>
        <v>0</v>
      </c>
    </row>
    <row r="388" ht="12" customHeight="1" spans="1:16">
      <c r="A388" s="14">
        <v>190</v>
      </c>
      <c r="B388" s="15" t="s">
        <v>205</v>
      </c>
      <c r="C388" s="25"/>
      <c r="D388" s="16">
        <v>120.51</v>
      </c>
      <c r="E388" s="17"/>
      <c r="F388" s="17">
        <v>16.24</v>
      </c>
      <c r="G388" s="17"/>
      <c r="H388" s="16"/>
      <c r="I388" s="17"/>
      <c r="J388" s="17"/>
      <c r="K388" s="17"/>
      <c r="L388" s="17"/>
      <c r="M388" s="22"/>
      <c r="N388" s="17"/>
      <c r="O388" s="22"/>
      <c r="P388" s="19"/>
    </row>
    <row r="389" ht="12" customHeight="1" spans="1:16">
      <c r="A389" s="14"/>
      <c r="B389" s="15"/>
      <c r="C389" s="18">
        <v>25</v>
      </c>
      <c r="D389" s="16"/>
      <c r="E389" s="17">
        <v>3416.88</v>
      </c>
      <c r="F389" s="17"/>
      <c r="G389" s="17">
        <v>418.75</v>
      </c>
      <c r="H389" s="16"/>
      <c r="I389" s="17"/>
      <c r="J389" s="17"/>
      <c r="K389" s="17"/>
      <c r="L389" s="17"/>
      <c r="M389" s="22"/>
      <c r="N389" s="17"/>
      <c r="O389" s="22"/>
      <c r="P389" s="19">
        <f t="shared" si="62"/>
        <v>0</v>
      </c>
    </row>
    <row r="390" ht="12" customHeight="1" spans="1:16">
      <c r="A390" s="14">
        <v>191</v>
      </c>
      <c r="B390" s="15" t="s">
        <v>206</v>
      </c>
      <c r="C390" s="18"/>
      <c r="D390" s="16">
        <v>152.84</v>
      </c>
      <c r="E390" s="17"/>
      <c r="F390" s="17">
        <v>17.26</v>
      </c>
      <c r="G390" s="17"/>
      <c r="H390" s="16"/>
      <c r="I390" s="17"/>
      <c r="J390" s="17"/>
      <c r="K390" s="17"/>
      <c r="L390" s="17"/>
      <c r="M390" s="22"/>
      <c r="N390" s="17"/>
      <c r="O390" s="22"/>
      <c r="P390" s="19"/>
    </row>
    <row r="391" ht="12" customHeight="1" spans="1:16">
      <c r="A391" s="14"/>
      <c r="B391" s="15"/>
      <c r="C391" s="18">
        <v>25</v>
      </c>
      <c r="D391" s="16"/>
      <c r="E391" s="17">
        <v>3183.88</v>
      </c>
      <c r="F391" s="17"/>
      <c r="G391" s="17">
        <v>327.5</v>
      </c>
      <c r="H391" s="16"/>
      <c r="I391" s="17"/>
      <c r="J391" s="17"/>
      <c r="K391" s="17"/>
      <c r="L391" s="17"/>
      <c r="M391" s="22"/>
      <c r="N391" s="17"/>
      <c r="O391" s="22"/>
      <c r="P391" s="19">
        <f t="shared" ref="P391:P395" si="63">I391+K391-M391-O391</f>
        <v>0</v>
      </c>
    </row>
    <row r="392" ht="12" customHeight="1" spans="1:16">
      <c r="A392" s="14">
        <v>192</v>
      </c>
      <c r="B392" s="15" t="s">
        <v>207</v>
      </c>
      <c r="C392" s="18"/>
      <c r="D392" s="16">
        <v>101.87</v>
      </c>
      <c r="E392" s="17"/>
      <c r="F392" s="17">
        <v>8.94</v>
      </c>
      <c r="G392" s="17"/>
      <c r="H392" s="16"/>
      <c r="I392" s="17"/>
      <c r="J392" s="17"/>
      <c r="K392" s="17"/>
      <c r="L392" s="17"/>
      <c r="M392" s="22"/>
      <c r="N392" s="17"/>
      <c r="O392" s="22"/>
      <c r="P392" s="19"/>
    </row>
    <row r="393" ht="12" customHeight="1" spans="1:16">
      <c r="A393" s="14"/>
      <c r="B393" s="15"/>
      <c r="C393" s="23">
        <v>25</v>
      </c>
      <c r="D393" s="16"/>
      <c r="E393" s="17">
        <v>1273.38</v>
      </c>
      <c r="F393" s="17"/>
      <c r="G393" s="17">
        <v>111.75</v>
      </c>
      <c r="H393" s="16"/>
      <c r="I393" s="17"/>
      <c r="J393" s="17"/>
      <c r="K393" s="17"/>
      <c r="L393" s="17"/>
      <c r="M393" s="22"/>
      <c r="N393" s="17"/>
      <c r="O393" s="22"/>
      <c r="P393" s="19">
        <f t="shared" si="63"/>
        <v>0</v>
      </c>
    </row>
    <row r="394" ht="12" customHeight="1" spans="1:16">
      <c r="A394" s="14">
        <v>193</v>
      </c>
      <c r="B394" s="15" t="s">
        <v>208</v>
      </c>
      <c r="C394" s="25"/>
      <c r="D394" s="16">
        <v>0</v>
      </c>
      <c r="E394" s="17"/>
      <c r="F394" s="17">
        <v>0</v>
      </c>
      <c r="G394" s="17"/>
      <c r="H394" s="16"/>
      <c r="I394" s="17"/>
      <c r="J394" s="17"/>
      <c r="K394" s="17"/>
      <c r="L394" s="17"/>
      <c r="M394" s="22"/>
      <c r="N394" s="17"/>
      <c r="O394" s="22"/>
      <c r="P394" s="19"/>
    </row>
    <row r="395" ht="12" customHeight="1" spans="1:16">
      <c r="A395" s="14"/>
      <c r="B395" s="15"/>
      <c r="C395" s="18">
        <v>25</v>
      </c>
      <c r="D395" s="16"/>
      <c r="E395" s="17">
        <v>0</v>
      </c>
      <c r="F395" s="17"/>
      <c r="G395" s="17">
        <v>0</v>
      </c>
      <c r="H395" s="16"/>
      <c r="I395" s="17"/>
      <c r="J395" s="17"/>
      <c r="K395" s="17"/>
      <c r="L395" s="17"/>
      <c r="M395" s="22"/>
      <c r="N395" s="17"/>
      <c r="O395" s="22"/>
      <c r="P395" s="19">
        <f t="shared" si="63"/>
        <v>0</v>
      </c>
    </row>
    <row r="396" ht="12" customHeight="1" spans="1:16">
      <c r="A396" s="14">
        <v>194</v>
      </c>
      <c r="B396" s="15" t="s">
        <v>209</v>
      </c>
      <c r="C396" s="18"/>
      <c r="D396" s="16">
        <v>0</v>
      </c>
      <c r="E396" s="17"/>
      <c r="F396" s="17">
        <v>0</v>
      </c>
      <c r="G396" s="17"/>
      <c r="H396" s="16"/>
      <c r="I396" s="17"/>
      <c r="J396" s="17"/>
      <c r="K396" s="17"/>
      <c r="L396" s="17"/>
      <c r="M396" s="22"/>
      <c r="N396" s="17"/>
      <c r="O396" s="22"/>
      <c r="P396" s="19"/>
    </row>
    <row r="397" ht="12" customHeight="1" spans="1:16">
      <c r="A397" s="14"/>
      <c r="B397" s="15"/>
      <c r="C397" s="18">
        <v>25</v>
      </c>
      <c r="D397" s="16"/>
      <c r="E397" s="17">
        <v>0</v>
      </c>
      <c r="F397" s="17"/>
      <c r="G397" s="17">
        <v>0</v>
      </c>
      <c r="H397" s="16"/>
      <c r="I397" s="17"/>
      <c r="J397" s="17"/>
      <c r="K397" s="17"/>
      <c r="L397" s="17"/>
      <c r="M397" s="22"/>
      <c r="N397" s="17"/>
      <c r="O397" s="22"/>
      <c r="P397" s="19">
        <f t="shared" ref="P397:P401" si="64">I397+K397-M397-O397</f>
        <v>0</v>
      </c>
    </row>
    <row r="398" ht="12" customHeight="1" spans="1:16">
      <c r="A398" s="14">
        <v>195</v>
      </c>
      <c r="B398" s="15" t="s">
        <v>210</v>
      </c>
      <c r="C398" s="18"/>
      <c r="D398" s="16">
        <v>0</v>
      </c>
      <c r="E398" s="17"/>
      <c r="F398" s="17">
        <v>0</v>
      </c>
      <c r="G398" s="17"/>
      <c r="H398" s="16"/>
      <c r="I398" s="17"/>
      <c r="J398" s="17"/>
      <c r="K398" s="17"/>
      <c r="L398" s="17"/>
      <c r="M398" s="22"/>
      <c r="N398" s="17"/>
      <c r="O398" s="22"/>
      <c r="P398" s="19"/>
    </row>
    <row r="399" ht="12" customHeight="1" spans="1:16">
      <c r="A399" s="14"/>
      <c r="B399" s="15"/>
      <c r="C399" s="23">
        <v>25</v>
      </c>
      <c r="D399" s="16"/>
      <c r="E399" s="17">
        <v>0</v>
      </c>
      <c r="F399" s="17"/>
      <c r="G399" s="17">
        <v>0</v>
      </c>
      <c r="H399" s="16"/>
      <c r="I399" s="17"/>
      <c r="J399" s="17"/>
      <c r="K399" s="17"/>
      <c r="L399" s="17"/>
      <c r="M399" s="22"/>
      <c r="N399" s="17"/>
      <c r="O399" s="22"/>
      <c r="P399" s="19">
        <f t="shared" si="64"/>
        <v>0</v>
      </c>
    </row>
    <row r="400" ht="12" customHeight="1" spans="1:16">
      <c r="A400" s="14">
        <v>196</v>
      </c>
      <c r="B400" s="15" t="s">
        <v>211</v>
      </c>
      <c r="C400" s="25"/>
      <c r="D400" s="16">
        <v>0</v>
      </c>
      <c r="E400" s="17"/>
      <c r="F400" s="17">
        <v>0</v>
      </c>
      <c r="G400" s="17"/>
      <c r="H400" s="16"/>
      <c r="I400" s="17"/>
      <c r="J400" s="17"/>
      <c r="K400" s="17"/>
      <c r="L400" s="17"/>
      <c r="M400" s="22"/>
      <c r="N400" s="17"/>
      <c r="O400" s="22"/>
      <c r="P400" s="19"/>
    </row>
    <row r="401" ht="12" customHeight="1" spans="1:16">
      <c r="A401" s="14"/>
      <c r="B401" s="15"/>
      <c r="C401" s="18">
        <v>25</v>
      </c>
      <c r="D401" s="16"/>
      <c r="E401" s="17">
        <v>0</v>
      </c>
      <c r="F401" s="17"/>
      <c r="G401" s="17">
        <v>0</v>
      </c>
      <c r="H401" s="16"/>
      <c r="I401" s="17"/>
      <c r="J401" s="17"/>
      <c r="K401" s="17"/>
      <c r="L401" s="17"/>
      <c r="M401" s="22"/>
      <c r="N401" s="17"/>
      <c r="O401" s="22"/>
      <c r="P401" s="19">
        <f t="shared" si="64"/>
        <v>0</v>
      </c>
    </row>
    <row r="402" ht="12" customHeight="1" spans="1:16">
      <c r="A402" s="14">
        <v>197</v>
      </c>
      <c r="B402" s="15" t="s">
        <v>212</v>
      </c>
      <c r="C402" s="18"/>
      <c r="D402" s="16">
        <v>0</v>
      </c>
      <c r="E402" s="17"/>
      <c r="F402" s="17">
        <v>0</v>
      </c>
      <c r="G402" s="17"/>
      <c r="H402" s="16"/>
      <c r="I402" s="17"/>
      <c r="J402" s="17"/>
      <c r="K402" s="17"/>
      <c r="L402" s="17"/>
      <c r="M402" s="22"/>
      <c r="N402" s="17"/>
      <c r="O402" s="22"/>
      <c r="P402" s="19"/>
    </row>
    <row r="403" ht="12" customHeight="1" spans="1:16">
      <c r="A403" s="14"/>
      <c r="B403" s="15"/>
      <c r="C403" s="18">
        <v>25</v>
      </c>
      <c r="D403" s="16"/>
      <c r="E403" s="17">
        <v>0</v>
      </c>
      <c r="F403" s="17"/>
      <c r="G403" s="17">
        <v>0</v>
      </c>
      <c r="H403" s="16"/>
      <c r="I403" s="17"/>
      <c r="J403" s="17"/>
      <c r="K403" s="17"/>
      <c r="L403" s="17"/>
      <c r="M403" s="22"/>
      <c r="N403" s="17"/>
      <c r="O403" s="22"/>
      <c r="P403" s="19">
        <f t="shared" ref="P403:P407" si="65">I403+K403-M403-O403</f>
        <v>0</v>
      </c>
    </row>
    <row r="404" ht="12" customHeight="1" spans="1:16">
      <c r="A404" s="14">
        <v>198</v>
      </c>
      <c r="B404" s="15" t="s">
        <v>213</v>
      </c>
      <c r="C404" s="18"/>
      <c r="D404" s="16">
        <v>0</v>
      </c>
      <c r="E404" s="17"/>
      <c r="F404" s="17">
        <v>0</v>
      </c>
      <c r="G404" s="17"/>
      <c r="H404" s="16"/>
      <c r="I404" s="17"/>
      <c r="J404" s="17"/>
      <c r="K404" s="17"/>
      <c r="L404" s="17"/>
      <c r="M404" s="22"/>
      <c r="N404" s="17"/>
      <c r="O404" s="22"/>
      <c r="P404" s="19"/>
    </row>
    <row r="405" ht="12" customHeight="1" spans="1:16">
      <c r="A405" s="14"/>
      <c r="B405" s="15"/>
      <c r="C405" s="23">
        <v>25</v>
      </c>
      <c r="D405" s="16"/>
      <c r="E405" s="17">
        <v>0</v>
      </c>
      <c r="F405" s="17"/>
      <c r="G405" s="17">
        <v>0</v>
      </c>
      <c r="H405" s="16"/>
      <c r="I405" s="17"/>
      <c r="J405" s="17"/>
      <c r="K405" s="17"/>
      <c r="L405" s="17"/>
      <c r="M405" s="22"/>
      <c r="N405" s="17"/>
      <c r="O405" s="22"/>
      <c r="P405" s="19">
        <f t="shared" si="65"/>
        <v>0</v>
      </c>
    </row>
    <row r="406" ht="12" customHeight="1" spans="1:16">
      <c r="A406" s="14">
        <v>199</v>
      </c>
      <c r="B406" s="15" t="s">
        <v>214</v>
      </c>
      <c r="C406" s="25"/>
      <c r="D406" s="16">
        <v>0</v>
      </c>
      <c r="E406" s="17"/>
      <c r="F406" s="17">
        <v>0</v>
      </c>
      <c r="G406" s="17"/>
      <c r="H406" s="16"/>
      <c r="I406" s="17"/>
      <c r="J406" s="17"/>
      <c r="K406" s="17"/>
      <c r="L406" s="17"/>
      <c r="M406" s="22"/>
      <c r="N406" s="17"/>
      <c r="O406" s="22"/>
      <c r="P406" s="19"/>
    </row>
    <row r="407" ht="12" customHeight="1" spans="1:16">
      <c r="A407" s="14"/>
      <c r="B407" s="15"/>
      <c r="C407" s="18">
        <v>25</v>
      </c>
      <c r="D407" s="16"/>
      <c r="E407" s="17">
        <v>0</v>
      </c>
      <c r="F407" s="17"/>
      <c r="G407" s="17">
        <v>0</v>
      </c>
      <c r="H407" s="16"/>
      <c r="I407" s="17"/>
      <c r="J407" s="17"/>
      <c r="K407" s="17"/>
      <c r="L407" s="17"/>
      <c r="M407" s="22"/>
      <c r="N407" s="17"/>
      <c r="O407" s="22"/>
      <c r="P407" s="19">
        <f t="shared" si="65"/>
        <v>0</v>
      </c>
    </row>
    <row r="408" ht="12" customHeight="1" spans="1:16">
      <c r="A408" s="14">
        <v>200</v>
      </c>
      <c r="B408" s="15" t="s">
        <v>215</v>
      </c>
      <c r="C408" s="18"/>
      <c r="D408" s="16">
        <v>0</v>
      </c>
      <c r="E408" s="17"/>
      <c r="F408" s="17">
        <v>0</v>
      </c>
      <c r="G408" s="17"/>
      <c r="H408" s="16"/>
      <c r="I408" s="17"/>
      <c r="J408" s="17"/>
      <c r="K408" s="17"/>
      <c r="L408" s="17"/>
      <c r="M408" s="22"/>
      <c r="N408" s="17"/>
      <c r="O408" s="22"/>
      <c r="P408" s="19"/>
    </row>
    <row r="409" ht="12" customHeight="1" spans="1:16">
      <c r="A409" s="14"/>
      <c r="B409" s="15"/>
      <c r="C409" s="18">
        <v>25</v>
      </c>
      <c r="D409" s="16"/>
      <c r="E409" s="17">
        <v>135.75</v>
      </c>
      <c r="F409" s="17"/>
      <c r="G409" s="17">
        <v>50.25</v>
      </c>
      <c r="H409" s="16"/>
      <c r="I409" s="17"/>
      <c r="J409" s="17"/>
      <c r="K409" s="17"/>
      <c r="L409" s="17"/>
      <c r="M409" s="22"/>
      <c r="N409" s="17"/>
      <c r="O409" s="22"/>
      <c r="P409" s="19">
        <f t="shared" ref="P409:P413" si="66">I409+K409-M409-O409</f>
        <v>0</v>
      </c>
    </row>
    <row r="410" ht="12" customHeight="1" spans="1:16">
      <c r="A410" s="14">
        <v>201</v>
      </c>
      <c r="B410" s="15" t="s">
        <v>216</v>
      </c>
      <c r="C410" s="18"/>
      <c r="D410" s="16">
        <v>10.86</v>
      </c>
      <c r="E410" s="17"/>
      <c r="F410" s="17">
        <v>4.02</v>
      </c>
      <c r="G410" s="17"/>
      <c r="H410" s="16"/>
      <c r="I410" s="17"/>
      <c r="J410" s="17"/>
      <c r="K410" s="17"/>
      <c r="L410" s="17"/>
      <c r="M410" s="22"/>
      <c r="N410" s="17"/>
      <c r="O410" s="22"/>
      <c r="P410" s="19"/>
    </row>
    <row r="411" ht="12" customHeight="1" spans="1:16">
      <c r="A411" s="14"/>
      <c r="B411" s="15"/>
      <c r="C411" s="23">
        <v>25</v>
      </c>
      <c r="D411" s="16"/>
      <c r="E411" s="17">
        <v>502.75</v>
      </c>
      <c r="F411" s="17"/>
      <c r="G411" s="17">
        <v>150.88</v>
      </c>
      <c r="H411" s="16"/>
      <c r="I411" s="17"/>
      <c r="J411" s="17"/>
      <c r="K411" s="17"/>
      <c r="L411" s="17"/>
      <c r="M411" s="22"/>
      <c r="N411" s="17"/>
      <c r="O411" s="22"/>
      <c r="P411" s="19">
        <f t="shared" si="66"/>
        <v>0</v>
      </c>
    </row>
    <row r="412" ht="12" customHeight="1" spans="1:16">
      <c r="A412" s="14">
        <v>202</v>
      </c>
      <c r="B412" s="15" t="s">
        <v>217</v>
      </c>
      <c r="C412" s="25"/>
      <c r="D412" s="16">
        <v>29.36</v>
      </c>
      <c r="E412" s="17"/>
      <c r="F412" s="17">
        <v>8.05</v>
      </c>
      <c r="G412" s="17"/>
      <c r="H412" s="16"/>
      <c r="I412" s="17"/>
      <c r="J412" s="17"/>
      <c r="K412" s="17"/>
      <c r="L412" s="17"/>
      <c r="M412" s="22"/>
      <c r="N412" s="17"/>
      <c r="O412" s="22"/>
      <c r="P412" s="19"/>
    </row>
    <row r="413" ht="12" customHeight="1" spans="1:16">
      <c r="A413" s="14"/>
      <c r="B413" s="15"/>
      <c r="C413" s="18">
        <v>25</v>
      </c>
      <c r="D413" s="16"/>
      <c r="E413" s="17">
        <v>1423.63</v>
      </c>
      <c r="F413" s="17"/>
      <c r="G413" s="17">
        <v>295.63</v>
      </c>
      <c r="H413" s="16"/>
      <c r="I413" s="17"/>
      <c r="J413" s="17"/>
      <c r="K413" s="17"/>
      <c r="L413" s="17"/>
      <c r="M413" s="22"/>
      <c r="N413" s="17"/>
      <c r="O413" s="22"/>
      <c r="P413" s="19">
        <f t="shared" si="66"/>
        <v>0</v>
      </c>
    </row>
    <row r="414" ht="12" customHeight="1" spans="1:16">
      <c r="A414" s="14">
        <v>203</v>
      </c>
      <c r="B414" s="15" t="s">
        <v>218</v>
      </c>
      <c r="C414" s="18"/>
      <c r="D414" s="16">
        <v>84.53</v>
      </c>
      <c r="E414" s="17"/>
      <c r="F414" s="17">
        <v>15.6</v>
      </c>
      <c r="G414" s="17"/>
      <c r="H414" s="16"/>
      <c r="I414" s="17"/>
      <c r="J414" s="17"/>
      <c r="K414" s="17"/>
      <c r="L414" s="17"/>
      <c r="M414" s="22"/>
      <c r="N414" s="17"/>
      <c r="O414" s="22"/>
      <c r="P414" s="19"/>
    </row>
    <row r="415" ht="12" customHeight="1" spans="1:16">
      <c r="A415" s="14"/>
      <c r="B415" s="15"/>
      <c r="C415" s="18">
        <v>25</v>
      </c>
      <c r="D415" s="16"/>
      <c r="E415" s="17">
        <v>3068.88</v>
      </c>
      <c r="F415" s="17"/>
      <c r="G415" s="17">
        <v>467.25</v>
      </c>
      <c r="H415" s="16"/>
      <c r="I415" s="17"/>
      <c r="J415" s="17"/>
      <c r="K415" s="17"/>
      <c r="L415" s="17"/>
      <c r="M415" s="22"/>
      <c r="N415" s="17"/>
      <c r="O415" s="22"/>
      <c r="P415" s="19">
        <f t="shared" ref="P415:P419" si="67">I415+K415-M415-O415</f>
        <v>0</v>
      </c>
    </row>
    <row r="416" ht="12" customHeight="1" spans="1:16">
      <c r="A416" s="14">
        <v>204</v>
      </c>
      <c r="B416" s="15" t="s">
        <v>219</v>
      </c>
      <c r="C416" s="18"/>
      <c r="D416" s="16">
        <v>160.98</v>
      </c>
      <c r="E416" s="17"/>
      <c r="F416" s="17">
        <v>21.78</v>
      </c>
      <c r="G416" s="17"/>
      <c r="H416" s="16"/>
      <c r="I416" s="17"/>
      <c r="J416" s="17"/>
      <c r="K416" s="17"/>
      <c r="L416" s="17"/>
      <c r="M416" s="22"/>
      <c r="N416" s="17"/>
      <c r="O416" s="22"/>
      <c r="P416" s="19"/>
    </row>
    <row r="417" ht="12" customHeight="1" spans="1:16">
      <c r="A417" s="14"/>
      <c r="B417" s="15"/>
      <c r="C417" s="23">
        <v>25</v>
      </c>
      <c r="D417" s="16"/>
      <c r="E417" s="17">
        <v>4905.5</v>
      </c>
      <c r="F417" s="17"/>
      <c r="G417" s="17">
        <v>609.13</v>
      </c>
      <c r="H417" s="16"/>
      <c r="I417" s="17"/>
      <c r="J417" s="17"/>
      <c r="K417" s="17"/>
      <c r="L417" s="17"/>
      <c r="M417" s="22"/>
      <c r="N417" s="17"/>
      <c r="O417" s="22"/>
      <c r="P417" s="19">
        <f t="shared" si="67"/>
        <v>0</v>
      </c>
    </row>
    <row r="418" ht="12" customHeight="1" spans="1:16">
      <c r="A418" s="14">
        <v>205</v>
      </c>
      <c r="B418" s="15" t="s">
        <v>220</v>
      </c>
      <c r="C418" s="25"/>
      <c r="D418" s="16">
        <v>231.46</v>
      </c>
      <c r="E418" s="17"/>
      <c r="F418" s="17">
        <v>26.95</v>
      </c>
      <c r="G418" s="17"/>
      <c r="H418" s="16"/>
      <c r="I418" s="17"/>
      <c r="J418" s="17"/>
      <c r="K418" s="17"/>
      <c r="L418" s="17"/>
      <c r="M418" s="22"/>
      <c r="N418" s="17"/>
      <c r="O418" s="22"/>
      <c r="P418" s="19"/>
    </row>
    <row r="419" ht="12" customHeight="1" spans="1:16">
      <c r="A419" s="14"/>
      <c r="B419" s="15"/>
      <c r="C419" s="18">
        <v>25</v>
      </c>
      <c r="D419" s="16"/>
      <c r="E419" s="17">
        <v>6064.75</v>
      </c>
      <c r="F419" s="17"/>
      <c r="G419" s="17">
        <v>694.25</v>
      </c>
      <c r="H419" s="16"/>
      <c r="I419" s="17"/>
      <c r="J419" s="17"/>
      <c r="K419" s="17"/>
      <c r="L419" s="17"/>
      <c r="M419" s="22"/>
      <c r="N419" s="17"/>
      <c r="O419" s="22"/>
      <c r="P419" s="19">
        <f t="shared" si="67"/>
        <v>0</v>
      </c>
    </row>
    <row r="420" ht="12" customHeight="1" spans="1:16">
      <c r="A420" s="14">
        <v>206</v>
      </c>
      <c r="B420" s="15" t="s">
        <v>221</v>
      </c>
      <c r="C420" s="18"/>
      <c r="D420" s="16">
        <v>253.72</v>
      </c>
      <c r="E420" s="17"/>
      <c r="F420" s="17">
        <v>28.59</v>
      </c>
      <c r="G420" s="17"/>
      <c r="H420" s="16"/>
      <c r="I420" s="17"/>
      <c r="J420" s="17"/>
      <c r="K420" s="17"/>
      <c r="L420" s="17"/>
      <c r="M420" s="22"/>
      <c r="N420" s="17"/>
      <c r="O420" s="22"/>
      <c r="P420" s="19"/>
    </row>
    <row r="421" ht="12" customHeight="1" spans="1:16">
      <c r="A421" s="14"/>
      <c r="B421" s="15"/>
      <c r="C421" s="18">
        <v>25</v>
      </c>
      <c r="D421" s="16"/>
      <c r="E421" s="17">
        <v>5701.38</v>
      </c>
      <c r="F421" s="17"/>
      <c r="G421" s="17">
        <v>714.88</v>
      </c>
      <c r="H421" s="16"/>
      <c r="I421" s="17"/>
      <c r="J421" s="17"/>
      <c r="K421" s="17"/>
      <c r="L421" s="17"/>
      <c r="M421" s="22"/>
      <c r="N421" s="17"/>
      <c r="O421" s="22"/>
      <c r="P421" s="19">
        <f t="shared" ref="P421:P425" si="68">I421+K421-M421-O421</f>
        <v>0</v>
      </c>
    </row>
    <row r="422" ht="12" customHeight="1" spans="1:16">
      <c r="A422" s="14">
        <v>207</v>
      </c>
      <c r="B422" s="15" t="s">
        <v>222</v>
      </c>
      <c r="C422" s="18"/>
      <c r="D422" s="16">
        <v>202.39</v>
      </c>
      <c r="E422" s="17"/>
      <c r="F422" s="17">
        <v>28.6</v>
      </c>
      <c r="G422" s="17"/>
      <c r="H422" s="16"/>
      <c r="I422" s="17"/>
      <c r="J422" s="17"/>
      <c r="K422" s="17"/>
      <c r="L422" s="17"/>
      <c r="M422" s="22"/>
      <c r="N422" s="17"/>
      <c r="O422" s="22"/>
      <c r="P422" s="19"/>
    </row>
    <row r="423" ht="12" customHeight="1" spans="1:16">
      <c r="A423" s="14"/>
      <c r="B423" s="15"/>
      <c r="C423" s="23">
        <v>25</v>
      </c>
      <c r="D423" s="16"/>
      <c r="E423" s="17">
        <v>4791.88</v>
      </c>
      <c r="F423" s="17"/>
      <c r="G423" s="17">
        <v>727.5</v>
      </c>
      <c r="H423" s="16"/>
      <c r="I423" s="17"/>
      <c r="J423" s="17"/>
      <c r="K423" s="17"/>
      <c r="L423" s="17"/>
      <c r="M423" s="22"/>
      <c r="N423" s="17"/>
      <c r="O423" s="22"/>
      <c r="P423" s="19">
        <f t="shared" si="68"/>
        <v>0</v>
      </c>
    </row>
    <row r="424" ht="12" customHeight="1" spans="1:16">
      <c r="A424" s="14">
        <v>208</v>
      </c>
      <c r="B424" s="15" t="s">
        <v>223</v>
      </c>
      <c r="C424" s="25"/>
      <c r="D424" s="16">
        <v>180.96</v>
      </c>
      <c r="E424" s="17"/>
      <c r="F424" s="17">
        <v>29.6</v>
      </c>
      <c r="G424" s="17"/>
      <c r="H424" s="16"/>
      <c r="I424" s="17"/>
      <c r="J424" s="17"/>
      <c r="K424" s="17"/>
      <c r="L424" s="17"/>
      <c r="M424" s="22"/>
      <c r="N424" s="17"/>
      <c r="O424" s="22"/>
      <c r="P424" s="19"/>
    </row>
    <row r="425" ht="12" customHeight="1" spans="1:16">
      <c r="A425" s="14"/>
      <c r="B425" s="15"/>
      <c r="C425" s="18">
        <v>25</v>
      </c>
      <c r="D425" s="16"/>
      <c r="E425" s="17">
        <v>4317.25</v>
      </c>
      <c r="F425" s="17"/>
      <c r="G425" s="17">
        <v>589.25</v>
      </c>
      <c r="H425" s="16"/>
      <c r="I425" s="17"/>
      <c r="J425" s="17"/>
      <c r="K425" s="17"/>
      <c r="L425" s="17"/>
      <c r="M425" s="22"/>
      <c r="N425" s="17"/>
      <c r="O425" s="22"/>
      <c r="P425" s="19">
        <f t="shared" si="68"/>
        <v>0</v>
      </c>
    </row>
    <row r="426" ht="12" customHeight="1" spans="1:16">
      <c r="A426" s="14">
        <v>209</v>
      </c>
      <c r="B426" s="15" t="s">
        <v>224</v>
      </c>
      <c r="C426" s="18"/>
      <c r="D426" s="16">
        <v>164.42</v>
      </c>
      <c r="E426" s="17"/>
      <c r="F426" s="17">
        <v>17.54</v>
      </c>
      <c r="G426" s="17"/>
      <c r="H426" s="16"/>
      <c r="I426" s="17"/>
      <c r="J426" s="17"/>
      <c r="K426" s="17"/>
      <c r="L426" s="17"/>
      <c r="M426" s="22"/>
      <c r="N426" s="17"/>
      <c r="O426" s="22"/>
      <c r="P426" s="19"/>
    </row>
    <row r="427" ht="12" customHeight="1" spans="1:16">
      <c r="A427" s="14"/>
      <c r="B427" s="15"/>
      <c r="C427" s="18">
        <v>25</v>
      </c>
      <c r="D427" s="16"/>
      <c r="E427" s="17">
        <v>2767.63</v>
      </c>
      <c r="F427" s="17"/>
      <c r="G427" s="17">
        <v>273.25</v>
      </c>
      <c r="H427" s="16"/>
      <c r="I427" s="17"/>
      <c r="J427" s="17"/>
      <c r="K427" s="17"/>
      <c r="L427" s="17"/>
      <c r="M427" s="22"/>
      <c r="N427" s="17"/>
      <c r="O427" s="22"/>
      <c r="P427" s="19">
        <f t="shared" ref="P427:P431" si="69">I427+K427-M427-O427</f>
        <v>0</v>
      </c>
    </row>
    <row r="428" ht="12" customHeight="1" spans="1:16">
      <c r="A428" s="14">
        <v>210</v>
      </c>
      <c r="B428" s="15" t="s">
        <v>225</v>
      </c>
      <c r="C428" s="18"/>
      <c r="D428" s="16">
        <v>56.99</v>
      </c>
      <c r="E428" s="17"/>
      <c r="F428" s="17">
        <v>4.32</v>
      </c>
      <c r="G428" s="17"/>
      <c r="H428" s="16"/>
      <c r="I428" s="17"/>
      <c r="J428" s="17"/>
      <c r="K428" s="17"/>
      <c r="L428" s="17"/>
      <c r="M428" s="22"/>
      <c r="N428" s="17"/>
      <c r="O428" s="22"/>
      <c r="P428" s="19"/>
    </row>
    <row r="429" ht="12" customHeight="1" spans="1:16">
      <c r="A429" s="14"/>
      <c r="B429" s="15"/>
      <c r="C429" s="23">
        <v>25</v>
      </c>
      <c r="D429" s="16"/>
      <c r="E429" s="17">
        <v>712.38</v>
      </c>
      <c r="F429" s="17"/>
      <c r="G429" s="17">
        <v>54</v>
      </c>
      <c r="H429" s="16"/>
      <c r="I429" s="17"/>
      <c r="J429" s="17"/>
      <c r="K429" s="17"/>
      <c r="L429" s="17"/>
      <c r="M429" s="22"/>
      <c r="N429" s="17"/>
      <c r="O429" s="22"/>
      <c r="P429" s="19">
        <f t="shared" si="69"/>
        <v>0</v>
      </c>
    </row>
    <row r="430" ht="12" customHeight="1" spans="1:16">
      <c r="A430" s="14">
        <v>211</v>
      </c>
      <c r="B430" s="15" t="s">
        <v>226</v>
      </c>
      <c r="C430" s="25"/>
      <c r="D430" s="16">
        <v>0</v>
      </c>
      <c r="E430" s="17"/>
      <c r="F430" s="17">
        <v>0</v>
      </c>
      <c r="G430" s="17"/>
      <c r="H430" s="16"/>
      <c r="I430" s="17"/>
      <c r="J430" s="17"/>
      <c r="K430" s="17"/>
      <c r="L430" s="17"/>
      <c r="M430" s="22"/>
      <c r="N430" s="17"/>
      <c r="O430" s="22"/>
      <c r="P430" s="19"/>
    </row>
    <row r="431" ht="12" customHeight="1" spans="1:16">
      <c r="A431" s="14"/>
      <c r="B431" s="15"/>
      <c r="C431" s="18">
        <v>25</v>
      </c>
      <c r="D431" s="16"/>
      <c r="E431" s="17">
        <v>0</v>
      </c>
      <c r="F431" s="17"/>
      <c r="G431" s="17">
        <v>0</v>
      </c>
      <c r="H431" s="16"/>
      <c r="I431" s="17"/>
      <c r="J431" s="17"/>
      <c r="K431" s="17"/>
      <c r="L431" s="17"/>
      <c r="M431" s="22"/>
      <c r="N431" s="17"/>
      <c r="O431" s="22"/>
      <c r="P431" s="19">
        <f t="shared" si="69"/>
        <v>0</v>
      </c>
    </row>
    <row r="432" ht="12" customHeight="1" spans="1:16">
      <c r="A432" s="14">
        <v>212</v>
      </c>
      <c r="B432" s="15" t="s">
        <v>227</v>
      </c>
      <c r="C432" s="18"/>
      <c r="D432" s="16">
        <v>0</v>
      </c>
      <c r="E432" s="17"/>
      <c r="F432" s="17">
        <v>0</v>
      </c>
      <c r="G432" s="17"/>
      <c r="H432" s="16"/>
      <c r="I432" s="17"/>
      <c r="J432" s="17"/>
      <c r="K432" s="17"/>
      <c r="L432" s="17"/>
      <c r="M432" s="22"/>
      <c r="N432" s="17"/>
      <c r="O432" s="22"/>
      <c r="P432" s="19"/>
    </row>
    <row r="433" ht="12" customHeight="1" spans="1:16">
      <c r="A433" s="14"/>
      <c r="B433" s="15"/>
      <c r="C433" s="18">
        <v>25</v>
      </c>
      <c r="D433" s="16"/>
      <c r="E433" s="17">
        <v>0</v>
      </c>
      <c r="F433" s="17"/>
      <c r="G433" s="17">
        <v>0</v>
      </c>
      <c r="H433" s="16"/>
      <c r="I433" s="17"/>
      <c r="J433" s="17"/>
      <c r="K433" s="17"/>
      <c r="L433" s="17"/>
      <c r="M433" s="22"/>
      <c r="N433" s="17"/>
      <c r="O433" s="22"/>
      <c r="P433" s="19">
        <f t="shared" ref="P433:P437" si="70">I433+K433-M433-O433</f>
        <v>0</v>
      </c>
    </row>
    <row r="434" ht="12" customHeight="1" spans="1:16">
      <c r="A434" s="14">
        <v>213</v>
      </c>
      <c r="B434" s="15" t="s">
        <v>228</v>
      </c>
      <c r="C434" s="18"/>
      <c r="D434" s="16">
        <v>0</v>
      </c>
      <c r="E434" s="17"/>
      <c r="F434" s="17">
        <v>0</v>
      </c>
      <c r="G434" s="17"/>
      <c r="H434" s="16"/>
      <c r="I434" s="17"/>
      <c r="J434" s="17"/>
      <c r="K434" s="17"/>
      <c r="L434" s="17"/>
      <c r="M434" s="22"/>
      <c r="N434" s="17"/>
      <c r="O434" s="22"/>
      <c r="P434" s="19"/>
    </row>
    <row r="435" ht="12" customHeight="1" spans="1:16">
      <c r="A435" s="14"/>
      <c r="B435" s="15"/>
      <c r="C435" s="23">
        <v>25</v>
      </c>
      <c r="D435" s="16"/>
      <c r="E435" s="17">
        <v>0</v>
      </c>
      <c r="F435" s="17"/>
      <c r="G435" s="17">
        <v>0</v>
      </c>
      <c r="H435" s="16"/>
      <c r="I435" s="17"/>
      <c r="J435" s="17"/>
      <c r="K435" s="17"/>
      <c r="L435" s="17"/>
      <c r="M435" s="22"/>
      <c r="N435" s="17"/>
      <c r="O435" s="22"/>
      <c r="P435" s="19">
        <f t="shared" si="70"/>
        <v>0</v>
      </c>
    </row>
    <row r="436" ht="12" customHeight="1" spans="1:16">
      <c r="A436" s="14">
        <v>214</v>
      </c>
      <c r="B436" s="15" t="s">
        <v>229</v>
      </c>
      <c r="C436" s="25"/>
      <c r="D436" s="16">
        <v>0</v>
      </c>
      <c r="E436" s="17"/>
      <c r="F436" s="17">
        <v>0</v>
      </c>
      <c r="G436" s="17"/>
      <c r="H436" s="16"/>
      <c r="I436" s="17"/>
      <c r="J436" s="17"/>
      <c r="K436" s="17"/>
      <c r="L436" s="17"/>
      <c r="M436" s="22"/>
      <c r="N436" s="17"/>
      <c r="O436" s="22"/>
      <c r="P436" s="19"/>
    </row>
    <row r="437" ht="12" customHeight="1" spans="1:16">
      <c r="A437" s="14"/>
      <c r="B437" s="15"/>
      <c r="C437" s="18">
        <v>25</v>
      </c>
      <c r="D437" s="16"/>
      <c r="E437" s="17">
        <v>0</v>
      </c>
      <c r="F437" s="17"/>
      <c r="G437" s="17">
        <v>0</v>
      </c>
      <c r="H437" s="16"/>
      <c r="I437" s="17"/>
      <c r="J437" s="17"/>
      <c r="K437" s="17"/>
      <c r="L437" s="17"/>
      <c r="M437" s="22"/>
      <c r="N437" s="17"/>
      <c r="O437" s="22"/>
      <c r="P437" s="19">
        <f t="shared" si="70"/>
        <v>0</v>
      </c>
    </row>
    <row r="438" ht="12" customHeight="1" spans="1:16">
      <c r="A438" s="14">
        <v>215</v>
      </c>
      <c r="B438" s="15" t="s">
        <v>230</v>
      </c>
      <c r="C438" s="18"/>
      <c r="D438" s="16">
        <v>0</v>
      </c>
      <c r="E438" s="17"/>
      <c r="F438" s="17">
        <v>0</v>
      </c>
      <c r="G438" s="17"/>
      <c r="H438" s="16"/>
      <c r="I438" s="17"/>
      <c r="J438" s="17"/>
      <c r="K438" s="17"/>
      <c r="L438" s="17"/>
      <c r="M438" s="22"/>
      <c r="N438" s="17"/>
      <c r="O438" s="22"/>
      <c r="P438" s="19"/>
    </row>
    <row r="439" ht="12" customHeight="1" spans="1:16">
      <c r="A439" s="14"/>
      <c r="B439" s="15"/>
      <c r="C439" s="18">
        <v>25</v>
      </c>
      <c r="D439" s="16"/>
      <c r="E439" s="17">
        <v>0</v>
      </c>
      <c r="F439" s="17"/>
      <c r="G439" s="17">
        <v>0</v>
      </c>
      <c r="H439" s="16"/>
      <c r="I439" s="17"/>
      <c r="J439" s="17"/>
      <c r="K439" s="17"/>
      <c r="L439" s="17"/>
      <c r="M439" s="22"/>
      <c r="N439" s="17"/>
      <c r="O439" s="22"/>
      <c r="P439" s="19">
        <f t="shared" ref="P439:P443" si="71">I439+K439-M439-O439</f>
        <v>0</v>
      </c>
    </row>
    <row r="440" ht="12" customHeight="1" spans="1:16">
      <c r="A440" s="14">
        <v>216</v>
      </c>
      <c r="B440" s="15" t="s">
        <v>231</v>
      </c>
      <c r="C440" s="18"/>
      <c r="D440" s="16">
        <v>0</v>
      </c>
      <c r="E440" s="17"/>
      <c r="F440" s="17">
        <v>0</v>
      </c>
      <c r="G440" s="17"/>
      <c r="H440" s="16"/>
      <c r="I440" s="17"/>
      <c r="J440" s="17"/>
      <c r="K440" s="17"/>
      <c r="L440" s="17"/>
      <c r="M440" s="22"/>
      <c r="N440" s="17"/>
      <c r="O440" s="22"/>
      <c r="P440" s="19"/>
    </row>
    <row r="441" ht="12" customHeight="1" spans="1:16">
      <c r="A441" s="14"/>
      <c r="B441" s="15"/>
      <c r="C441" s="23">
        <v>25</v>
      </c>
      <c r="D441" s="16"/>
      <c r="E441" s="17">
        <v>0</v>
      </c>
      <c r="F441" s="17"/>
      <c r="G441" s="17">
        <v>0</v>
      </c>
      <c r="H441" s="16"/>
      <c r="I441" s="17"/>
      <c r="J441" s="17"/>
      <c r="K441" s="17"/>
      <c r="L441" s="17"/>
      <c r="M441" s="22"/>
      <c r="N441" s="17"/>
      <c r="O441" s="22"/>
      <c r="P441" s="19">
        <f t="shared" si="71"/>
        <v>0</v>
      </c>
    </row>
    <row r="442" ht="12" customHeight="1" spans="1:16">
      <c r="A442" s="14">
        <v>217</v>
      </c>
      <c r="B442" s="15" t="s">
        <v>232</v>
      </c>
      <c r="C442" s="25"/>
      <c r="D442" s="16">
        <v>0</v>
      </c>
      <c r="E442" s="17"/>
      <c r="F442" s="17">
        <v>0</v>
      </c>
      <c r="G442" s="17"/>
      <c r="H442" s="16"/>
      <c r="I442" s="17"/>
      <c r="J442" s="17"/>
      <c r="K442" s="17"/>
      <c r="L442" s="17"/>
      <c r="M442" s="22"/>
      <c r="N442" s="17"/>
      <c r="O442" s="22"/>
      <c r="P442" s="19"/>
    </row>
    <row r="443" ht="12" customHeight="1" spans="1:16">
      <c r="A443" s="14"/>
      <c r="B443" s="15"/>
      <c r="C443" s="18">
        <v>25</v>
      </c>
      <c r="D443" s="16"/>
      <c r="E443" s="17">
        <v>0</v>
      </c>
      <c r="F443" s="17"/>
      <c r="G443" s="17">
        <v>0</v>
      </c>
      <c r="H443" s="16"/>
      <c r="I443" s="17"/>
      <c r="J443" s="17"/>
      <c r="K443" s="17"/>
      <c r="L443" s="17"/>
      <c r="M443" s="22"/>
      <c r="N443" s="17"/>
      <c r="O443" s="22"/>
      <c r="P443" s="19">
        <f t="shared" si="71"/>
        <v>0</v>
      </c>
    </row>
    <row r="444" ht="12" customHeight="1" spans="1:16">
      <c r="A444" s="14">
        <v>218</v>
      </c>
      <c r="B444" s="15" t="s">
        <v>233</v>
      </c>
      <c r="C444" s="18"/>
      <c r="D444" s="16">
        <v>0</v>
      </c>
      <c r="E444" s="17"/>
      <c r="F444" s="17">
        <v>0</v>
      </c>
      <c r="G444" s="17"/>
      <c r="H444" s="16"/>
      <c r="I444" s="17"/>
      <c r="J444" s="17"/>
      <c r="K444" s="17"/>
      <c r="L444" s="17"/>
      <c r="M444" s="22"/>
      <c r="N444" s="17"/>
      <c r="O444" s="22"/>
      <c r="P444" s="19"/>
    </row>
    <row r="445" ht="12" customHeight="1" spans="1:16">
      <c r="A445" s="14"/>
      <c r="B445" s="15"/>
      <c r="C445" s="18">
        <v>25</v>
      </c>
      <c r="D445" s="16"/>
      <c r="E445" s="17">
        <v>0</v>
      </c>
      <c r="F445" s="17"/>
      <c r="G445" s="17">
        <v>0</v>
      </c>
      <c r="H445" s="16"/>
      <c r="I445" s="17"/>
      <c r="J445" s="17"/>
      <c r="K445" s="17"/>
      <c r="L445" s="17"/>
      <c r="M445" s="22"/>
      <c r="N445" s="17"/>
      <c r="O445" s="22"/>
      <c r="P445" s="19">
        <f t="shared" ref="P445:P449" si="72">I445+K445-M445-O445</f>
        <v>0</v>
      </c>
    </row>
    <row r="446" ht="12" customHeight="1" spans="1:16">
      <c r="A446" s="14">
        <v>219</v>
      </c>
      <c r="B446" s="15" t="s">
        <v>234</v>
      </c>
      <c r="C446" s="18"/>
      <c r="D446" s="16">
        <v>0</v>
      </c>
      <c r="E446" s="17"/>
      <c r="F446" s="17">
        <v>0</v>
      </c>
      <c r="G446" s="17"/>
      <c r="H446" s="16"/>
      <c r="I446" s="17"/>
      <c r="J446" s="17"/>
      <c r="K446" s="17"/>
      <c r="L446" s="17"/>
      <c r="M446" s="22"/>
      <c r="N446" s="17"/>
      <c r="O446" s="22"/>
      <c r="P446" s="19"/>
    </row>
    <row r="447" ht="12" customHeight="1" spans="1:16">
      <c r="A447" s="14"/>
      <c r="B447" s="15"/>
      <c r="C447" s="23">
        <v>25</v>
      </c>
      <c r="D447" s="16"/>
      <c r="E447" s="17">
        <v>0</v>
      </c>
      <c r="F447" s="17"/>
      <c r="G447" s="17">
        <v>0</v>
      </c>
      <c r="H447" s="16"/>
      <c r="I447" s="17"/>
      <c r="J447" s="17"/>
      <c r="K447" s="17"/>
      <c r="L447" s="17"/>
      <c r="M447" s="22"/>
      <c r="N447" s="17"/>
      <c r="O447" s="22"/>
      <c r="P447" s="19">
        <f t="shared" si="72"/>
        <v>0</v>
      </c>
    </row>
    <row r="448" ht="12" customHeight="1" spans="1:16">
      <c r="A448" s="14">
        <v>220</v>
      </c>
      <c r="B448" s="15" t="s">
        <v>235</v>
      </c>
      <c r="C448" s="25"/>
      <c r="D448" s="16">
        <v>0</v>
      </c>
      <c r="E448" s="17"/>
      <c r="F448" s="17">
        <v>0</v>
      </c>
      <c r="G448" s="17"/>
      <c r="H448" s="16"/>
      <c r="I448" s="17"/>
      <c r="J448" s="17"/>
      <c r="K448" s="17"/>
      <c r="L448" s="17"/>
      <c r="M448" s="22"/>
      <c r="N448" s="17"/>
      <c r="O448" s="22"/>
      <c r="P448" s="19"/>
    </row>
    <row r="449" ht="12" customHeight="1" spans="1:16">
      <c r="A449" s="14"/>
      <c r="B449" s="15"/>
      <c r="C449" s="18">
        <v>25</v>
      </c>
      <c r="D449" s="16"/>
      <c r="E449" s="17">
        <v>0</v>
      </c>
      <c r="F449" s="17"/>
      <c r="G449" s="17">
        <v>0</v>
      </c>
      <c r="H449" s="16"/>
      <c r="I449" s="17"/>
      <c r="J449" s="17"/>
      <c r="K449" s="17"/>
      <c r="L449" s="17"/>
      <c r="M449" s="22"/>
      <c r="N449" s="17"/>
      <c r="O449" s="22"/>
      <c r="P449" s="19">
        <f t="shared" si="72"/>
        <v>0</v>
      </c>
    </row>
    <row r="450" ht="12" customHeight="1" spans="1:16">
      <c r="A450" s="14">
        <v>221</v>
      </c>
      <c r="B450" s="15" t="s">
        <v>236</v>
      </c>
      <c r="C450" s="18"/>
      <c r="D450" s="16">
        <v>0</v>
      </c>
      <c r="E450" s="17"/>
      <c r="F450" s="17">
        <v>0</v>
      </c>
      <c r="G450" s="17"/>
      <c r="H450" s="16"/>
      <c r="I450" s="17"/>
      <c r="J450" s="17"/>
      <c r="K450" s="17"/>
      <c r="L450" s="17"/>
      <c r="M450" s="22"/>
      <c r="N450" s="17"/>
      <c r="O450" s="22"/>
      <c r="P450" s="19"/>
    </row>
    <row r="451" ht="12" customHeight="1" spans="1:16">
      <c r="A451" s="14"/>
      <c r="B451" s="15"/>
      <c r="C451" s="18">
        <v>25</v>
      </c>
      <c r="D451" s="16"/>
      <c r="E451" s="17">
        <v>0</v>
      </c>
      <c r="F451" s="17"/>
      <c r="G451" s="17">
        <v>0</v>
      </c>
      <c r="H451" s="16"/>
      <c r="I451" s="17"/>
      <c r="J451" s="17"/>
      <c r="K451" s="17"/>
      <c r="L451" s="17"/>
      <c r="M451" s="22"/>
      <c r="N451" s="17"/>
      <c r="O451" s="22"/>
      <c r="P451" s="19">
        <f t="shared" ref="P451:P455" si="73">I451+K451-M451-O451</f>
        <v>0</v>
      </c>
    </row>
    <row r="452" ht="12" customHeight="1" spans="1:16">
      <c r="A452" s="14">
        <v>222</v>
      </c>
      <c r="B452" s="15" t="s">
        <v>237</v>
      </c>
      <c r="C452" s="18"/>
      <c r="D452" s="16">
        <v>0</v>
      </c>
      <c r="E452" s="17"/>
      <c r="F452" s="17">
        <v>0</v>
      </c>
      <c r="G452" s="17"/>
      <c r="H452" s="16"/>
      <c r="I452" s="17"/>
      <c r="J452" s="17"/>
      <c r="K452" s="17"/>
      <c r="L452" s="17"/>
      <c r="M452" s="22"/>
      <c r="N452" s="17"/>
      <c r="O452" s="22"/>
      <c r="P452" s="19"/>
    </row>
    <row r="453" ht="12" customHeight="1" spans="1:16">
      <c r="A453" s="14"/>
      <c r="B453" s="15"/>
      <c r="C453" s="23">
        <v>25</v>
      </c>
      <c r="D453" s="16"/>
      <c r="E453" s="17">
        <v>0</v>
      </c>
      <c r="F453" s="17"/>
      <c r="G453" s="17">
        <v>0</v>
      </c>
      <c r="H453" s="16"/>
      <c r="I453" s="17"/>
      <c r="J453" s="17"/>
      <c r="K453" s="17"/>
      <c r="L453" s="17"/>
      <c r="M453" s="22"/>
      <c r="N453" s="17"/>
      <c r="O453" s="22"/>
      <c r="P453" s="19">
        <f t="shared" si="73"/>
        <v>0</v>
      </c>
    </row>
    <row r="454" ht="12" customHeight="1" spans="1:16">
      <c r="A454" s="14">
        <v>223</v>
      </c>
      <c r="B454" s="15" t="s">
        <v>238</v>
      </c>
      <c r="C454" s="25"/>
      <c r="D454" s="16">
        <v>0</v>
      </c>
      <c r="E454" s="17"/>
      <c r="F454" s="17">
        <v>0</v>
      </c>
      <c r="G454" s="17"/>
      <c r="H454" s="16"/>
      <c r="I454" s="17"/>
      <c r="J454" s="17"/>
      <c r="K454" s="17"/>
      <c r="L454" s="17"/>
      <c r="M454" s="22"/>
      <c r="N454" s="17"/>
      <c r="O454" s="22"/>
      <c r="P454" s="19"/>
    </row>
    <row r="455" ht="12" customHeight="1" spans="1:16">
      <c r="A455" s="14"/>
      <c r="B455" s="15"/>
      <c r="C455" s="18">
        <v>25</v>
      </c>
      <c r="D455" s="16"/>
      <c r="E455" s="17">
        <v>0</v>
      </c>
      <c r="F455" s="17"/>
      <c r="G455" s="17">
        <v>0</v>
      </c>
      <c r="H455" s="16"/>
      <c r="I455" s="17"/>
      <c r="J455" s="17"/>
      <c r="K455" s="17"/>
      <c r="L455" s="17"/>
      <c r="M455" s="22"/>
      <c r="N455" s="17"/>
      <c r="O455" s="22"/>
      <c r="P455" s="19">
        <f t="shared" si="73"/>
        <v>0</v>
      </c>
    </row>
    <row r="456" ht="12" customHeight="1" spans="1:16">
      <c r="A456" s="14">
        <v>224</v>
      </c>
      <c r="B456" s="15" t="s">
        <v>239</v>
      </c>
      <c r="C456" s="18"/>
      <c r="D456" s="16">
        <v>0</v>
      </c>
      <c r="E456" s="17"/>
      <c r="F456" s="17">
        <v>0</v>
      </c>
      <c r="G456" s="17"/>
      <c r="H456" s="16"/>
      <c r="I456" s="17"/>
      <c r="J456" s="17"/>
      <c r="K456" s="17"/>
      <c r="L456" s="17"/>
      <c r="M456" s="22"/>
      <c r="N456" s="17"/>
      <c r="O456" s="22"/>
      <c r="P456" s="19"/>
    </row>
    <row r="457" ht="12" customHeight="1" spans="1:16">
      <c r="A457" s="14"/>
      <c r="B457" s="15"/>
      <c r="C457" s="18">
        <v>25</v>
      </c>
      <c r="D457" s="16"/>
      <c r="E457" s="17">
        <v>0</v>
      </c>
      <c r="F457" s="17"/>
      <c r="G457" s="17">
        <v>0</v>
      </c>
      <c r="H457" s="16"/>
      <c r="I457" s="17"/>
      <c r="J457" s="17"/>
      <c r="K457" s="17"/>
      <c r="L457" s="17"/>
      <c r="M457" s="22"/>
      <c r="N457" s="17"/>
      <c r="O457" s="22"/>
      <c r="P457" s="19">
        <f t="shared" ref="P457:P461" si="74">I457+K457-M457-O457</f>
        <v>0</v>
      </c>
    </row>
    <row r="458" ht="12" customHeight="1" spans="1:16">
      <c r="A458" s="14">
        <v>225</v>
      </c>
      <c r="B458" s="15" t="s">
        <v>240</v>
      </c>
      <c r="C458" s="18"/>
      <c r="D458" s="16">
        <v>0</v>
      </c>
      <c r="E458" s="17"/>
      <c r="F458" s="17">
        <v>0</v>
      </c>
      <c r="G458" s="17"/>
      <c r="H458" s="16"/>
      <c r="I458" s="17"/>
      <c r="J458" s="17"/>
      <c r="K458" s="17"/>
      <c r="L458" s="17"/>
      <c r="M458" s="22"/>
      <c r="N458" s="17"/>
      <c r="O458" s="22"/>
      <c r="P458" s="19"/>
    </row>
    <row r="459" ht="12" customHeight="1" spans="1:16">
      <c r="A459" s="14"/>
      <c r="B459" s="15"/>
      <c r="C459" s="23">
        <v>25</v>
      </c>
      <c r="D459" s="16"/>
      <c r="E459" s="17">
        <v>0</v>
      </c>
      <c r="F459" s="17"/>
      <c r="G459" s="17">
        <v>0</v>
      </c>
      <c r="H459" s="16"/>
      <c r="I459" s="17"/>
      <c r="J459" s="17"/>
      <c r="K459" s="17"/>
      <c r="L459" s="17"/>
      <c r="M459" s="22"/>
      <c r="N459" s="17"/>
      <c r="O459" s="22"/>
      <c r="P459" s="19">
        <f t="shared" si="74"/>
        <v>0</v>
      </c>
    </row>
    <row r="460" ht="12" customHeight="1" spans="1:16">
      <c r="A460" s="14">
        <v>226</v>
      </c>
      <c r="B460" s="15" t="s">
        <v>241</v>
      </c>
      <c r="C460" s="25"/>
      <c r="D460" s="16">
        <v>0</v>
      </c>
      <c r="E460" s="17"/>
      <c r="F460" s="17">
        <v>0</v>
      </c>
      <c r="G460" s="17"/>
      <c r="H460" s="16"/>
      <c r="I460" s="17"/>
      <c r="J460" s="17"/>
      <c r="K460" s="17"/>
      <c r="L460" s="17"/>
      <c r="M460" s="22"/>
      <c r="N460" s="17"/>
      <c r="O460" s="22"/>
      <c r="P460" s="19"/>
    </row>
    <row r="461" ht="12" customHeight="1" spans="1:16">
      <c r="A461" s="14"/>
      <c r="B461" s="15"/>
      <c r="C461" s="18">
        <v>25</v>
      </c>
      <c r="D461" s="16"/>
      <c r="E461" s="17">
        <v>0</v>
      </c>
      <c r="F461" s="17"/>
      <c r="G461" s="17">
        <v>0</v>
      </c>
      <c r="H461" s="16"/>
      <c r="I461" s="17"/>
      <c r="J461" s="17"/>
      <c r="K461" s="17"/>
      <c r="L461" s="17"/>
      <c r="M461" s="22"/>
      <c r="N461" s="17"/>
      <c r="O461" s="22"/>
      <c r="P461" s="19">
        <f t="shared" si="74"/>
        <v>0</v>
      </c>
    </row>
    <row r="462" ht="12" customHeight="1" spans="1:16">
      <c r="A462" s="14">
        <v>227</v>
      </c>
      <c r="B462" s="15" t="s">
        <v>242</v>
      </c>
      <c r="C462" s="18"/>
      <c r="D462" s="16">
        <v>0</v>
      </c>
      <c r="E462" s="17"/>
      <c r="F462" s="17">
        <v>0</v>
      </c>
      <c r="G462" s="17"/>
      <c r="H462" s="16"/>
      <c r="I462" s="17"/>
      <c r="J462" s="17"/>
      <c r="K462" s="17"/>
      <c r="L462" s="17"/>
      <c r="M462" s="22"/>
      <c r="N462" s="17"/>
      <c r="O462" s="22"/>
      <c r="P462" s="19"/>
    </row>
    <row r="463" ht="12" customHeight="1" spans="1:16">
      <c r="A463" s="14"/>
      <c r="B463" s="15"/>
      <c r="C463" s="18">
        <v>25</v>
      </c>
      <c r="D463" s="16"/>
      <c r="E463" s="17">
        <v>0</v>
      </c>
      <c r="F463" s="17"/>
      <c r="G463" s="17">
        <v>0</v>
      </c>
      <c r="H463" s="16"/>
      <c r="I463" s="17"/>
      <c r="J463" s="17"/>
      <c r="K463" s="17"/>
      <c r="L463" s="17"/>
      <c r="M463" s="22"/>
      <c r="N463" s="17"/>
      <c r="O463" s="22"/>
      <c r="P463" s="19">
        <f t="shared" ref="P463:P467" si="75">I463+K463-M463-O463</f>
        <v>0</v>
      </c>
    </row>
    <row r="464" ht="12" customHeight="1" spans="1:16">
      <c r="A464" s="14">
        <v>228</v>
      </c>
      <c r="B464" s="15" t="s">
        <v>243</v>
      </c>
      <c r="C464" s="18"/>
      <c r="D464" s="16">
        <v>0</v>
      </c>
      <c r="E464" s="17"/>
      <c r="F464" s="17">
        <v>0</v>
      </c>
      <c r="G464" s="17"/>
      <c r="H464" s="16"/>
      <c r="I464" s="17"/>
      <c r="J464" s="17"/>
      <c r="K464" s="17"/>
      <c r="L464" s="17"/>
      <c r="M464" s="22"/>
      <c r="N464" s="17"/>
      <c r="O464" s="22"/>
      <c r="P464" s="19"/>
    </row>
    <row r="465" ht="12" customHeight="1" spans="1:16">
      <c r="A465" s="14"/>
      <c r="B465" s="15"/>
      <c r="C465" s="23">
        <v>25</v>
      </c>
      <c r="D465" s="16"/>
      <c r="E465" s="17">
        <v>0</v>
      </c>
      <c r="F465" s="17"/>
      <c r="G465" s="17">
        <v>0</v>
      </c>
      <c r="H465" s="16"/>
      <c r="I465" s="17"/>
      <c r="J465" s="17"/>
      <c r="K465" s="17"/>
      <c r="L465" s="17"/>
      <c r="M465" s="22"/>
      <c r="N465" s="17"/>
      <c r="O465" s="22"/>
      <c r="P465" s="19">
        <f t="shared" si="75"/>
        <v>0</v>
      </c>
    </row>
    <row r="466" ht="12" customHeight="1" spans="1:16">
      <c r="A466" s="14">
        <v>229</v>
      </c>
      <c r="B466" s="15" t="s">
        <v>244</v>
      </c>
      <c r="C466" s="25"/>
      <c r="D466" s="16">
        <v>0</v>
      </c>
      <c r="E466" s="17"/>
      <c r="F466" s="17">
        <v>0</v>
      </c>
      <c r="G466" s="17"/>
      <c r="H466" s="16"/>
      <c r="I466" s="17"/>
      <c r="J466" s="17"/>
      <c r="K466" s="17"/>
      <c r="L466" s="17"/>
      <c r="M466" s="22"/>
      <c r="N466" s="17"/>
      <c r="O466" s="22"/>
      <c r="P466" s="19"/>
    </row>
    <row r="467" ht="12" customHeight="1" spans="1:16">
      <c r="A467" s="14"/>
      <c r="B467" s="15"/>
      <c r="C467" s="18">
        <v>25</v>
      </c>
      <c r="D467" s="16"/>
      <c r="E467" s="17">
        <v>0</v>
      </c>
      <c r="F467" s="17"/>
      <c r="G467" s="17">
        <v>0</v>
      </c>
      <c r="H467" s="16"/>
      <c r="I467" s="17"/>
      <c r="J467" s="17"/>
      <c r="K467" s="17"/>
      <c r="L467" s="17"/>
      <c r="M467" s="22"/>
      <c r="N467" s="17"/>
      <c r="O467" s="22"/>
      <c r="P467" s="19">
        <f t="shared" si="75"/>
        <v>0</v>
      </c>
    </row>
    <row r="468" ht="12" customHeight="1" spans="1:16">
      <c r="A468" s="14">
        <v>230</v>
      </c>
      <c r="B468" s="15" t="s">
        <v>245</v>
      </c>
      <c r="C468" s="18"/>
      <c r="D468" s="16">
        <v>0</v>
      </c>
      <c r="E468" s="17"/>
      <c r="F468" s="17">
        <v>0</v>
      </c>
      <c r="G468" s="17"/>
      <c r="H468" s="16"/>
      <c r="I468" s="17"/>
      <c r="J468" s="17"/>
      <c r="K468" s="17"/>
      <c r="L468" s="17"/>
      <c r="M468" s="22"/>
      <c r="N468" s="17"/>
      <c r="O468" s="22"/>
      <c r="P468" s="19"/>
    </row>
    <row r="469" ht="12" customHeight="1" spans="1:16">
      <c r="A469" s="14"/>
      <c r="B469" s="15"/>
      <c r="C469" s="18">
        <v>25</v>
      </c>
      <c r="D469" s="16"/>
      <c r="E469" s="17">
        <v>0</v>
      </c>
      <c r="F469" s="17"/>
      <c r="G469" s="17">
        <v>0</v>
      </c>
      <c r="H469" s="16"/>
      <c r="I469" s="17"/>
      <c r="J469" s="17"/>
      <c r="K469" s="17"/>
      <c r="L469" s="17"/>
      <c r="M469" s="22"/>
      <c r="N469" s="17"/>
      <c r="O469" s="22"/>
      <c r="P469" s="19">
        <f t="shared" ref="P469:P473" si="76">I469+K469-M469-O469</f>
        <v>0</v>
      </c>
    </row>
    <row r="470" ht="12" customHeight="1" spans="1:16">
      <c r="A470" s="14">
        <v>231</v>
      </c>
      <c r="B470" s="15" t="s">
        <v>246</v>
      </c>
      <c r="C470" s="18"/>
      <c r="D470" s="16">
        <v>0</v>
      </c>
      <c r="E470" s="17"/>
      <c r="F470" s="17">
        <v>0</v>
      </c>
      <c r="G470" s="17"/>
      <c r="H470" s="16"/>
      <c r="I470" s="17"/>
      <c r="J470" s="17"/>
      <c r="K470" s="17"/>
      <c r="L470" s="17"/>
      <c r="M470" s="22"/>
      <c r="N470" s="17"/>
      <c r="O470" s="22"/>
      <c r="P470" s="19"/>
    </row>
    <row r="471" ht="12" customHeight="1" spans="1:16">
      <c r="A471" s="14"/>
      <c r="B471" s="15"/>
      <c r="C471" s="23">
        <v>25</v>
      </c>
      <c r="D471" s="16"/>
      <c r="E471" s="17">
        <v>0</v>
      </c>
      <c r="F471" s="17"/>
      <c r="G471" s="17">
        <v>0</v>
      </c>
      <c r="H471" s="16"/>
      <c r="I471" s="17"/>
      <c r="J471" s="17"/>
      <c r="K471" s="17"/>
      <c r="L471" s="17"/>
      <c r="M471" s="22"/>
      <c r="N471" s="17"/>
      <c r="O471" s="22"/>
      <c r="P471" s="19">
        <f t="shared" si="76"/>
        <v>0</v>
      </c>
    </row>
    <row r="472" ht="12" customHeight="1" spans="1:16">
      <c r="A472" s="14">
        <v>232</v>
      </c>
      <c r="B472" s="15" t="s">
        <v>247</v>
      </c>
      <c r="C472" s="25"/>
      <c r="D472" s="16">
        <v>0</v>
      </c>
      <c r="E472" s="17"/>
      <c r="F472" s="17">
        <v>0</v>
      </c>
      <c r="G472" s="17"/>
      <c r="H472" s="16"/>
      <c r="I472" s="17"/>
      <c r="J472" s="17"/>
      <c r="K472" s="17"/>
      <c r="L472" s="17"/>
      <c r="M472" s="22"/>
      <c r="N472" s="17"/>
      <c r="O472" s="22"/>
      <c r="P472" s="19"/>
    </row>
    <row r="473" ht="12" customHeight="1" spans="1:16">
      <c r="A473" s="14"/>
      <c r="B473" s="15"/>
      <c r="C473" s="18">
        <v>25</v>
      </c>
      <c r="D473" s="16"/>
      <c r="E473" s="17">
        <v>0</v>
      </c>
      <c r="F473" s="17"/>
      <c r="G473" s="17">
        <v>0</v>
      </c>
      <c r="H473" s="16"/>
      <c r="I473" s="17"/>
      <c r="J473" s="17"/>
      <c r="K473" s="17"/>
      <c r="L473" s="17"/>
      <c r="M473" s="22"/>
      <c r="N473" s="17"/>
      <c r="O473" s="22"/>
      <c r="P473" s="19">
        <f t="shared" si="76"/>
        <v>0</v>
      </c>
    </row>
    <row r="474" ht="12" customHeight="1" spans="1:16">
      <c r="A474" s="14">
        <v>233</v>
      </c>
      <c r="B474" s="15" t="s">
        <v>248</v>
      </c>
      <c r="C474" s="18"/>
      <c r="D474" s="16">
        <v>0</v>
      </c>
      <c r="E474" s="17"/>
      <c r="F474" s="17">
        <v>0</v>
      </c>
      <c r="G474" s="17"/>
      <c r="H474" s="16"/>
      <c r="I474" s="17"/>
      <c r="J474" s="17"/>
      <c r="K474" s="17"/>
      <c r="L474" s="17"/>
      <c r="M474" s="22"/>
      <c r="N474" s="17"/>
      <c r="O474" s="22"/>
      <c r="P474" s="19"/>
    </row>
    <row r="475" ht="12" customHeight="1" spans="1:16">
      <c r="A475" s="14"/>
      <c r="B475" s="15"/>
      <c r="C475" s="18">
        <v>25</v>
      </c>
      <c r="D475" s="16"/>
      <c r="E475" s="17">
        <v>0</v>
      </c>
      <c r="F475" s="17"/>
      <c r="G475" s="17">
        <v>0</v>
      </c>
      <c r="H475" s="16"/>
      <c r="I475" s="17"/>
      <c r="J475" s="17"/>
      <c r="K475" s="17"/>
      <c r="L475" s="17"/>
      <c r="M475" s="22"/>
      <c r="N475" s="17"/>
      <c r="O475" s="22"/>
      <c r="P475" s="19">
        <f t="shared" ref="P475:P479" si="77">I475+K475-M475-O475</f>
        <v>0</v>
      </c>
    </row>
    <row r="476" ht="12" customHeight="1" spans="1:16">
      <c r="A476" s="14">
        <v>234</v>
      </c>
      <c r="B476" s="15" t="s">
        <v>249</v>
      </c>
      <c r="C476" s="18"/>
      <c r="D476" s="16">
        <v>0</v>
      </c>
      <c r="E476" s="17"/>
      <c r="F476" s="17">
        <v>0</v>
      </c>
      <c r="G476" s="17"/>
      <c r="H476" s="16"/>
      <c r="I476" s="17"/>
      <c r="J476" s="17"/>
      <c r="K476" s="17"/>
      <c r="L476" s="17"/>
      <c r="M476" s="22"/>
      <c r="N476" s="17"/>
      <c r="O476" s="22"/>
      <c r="P476" s="19"/>
    </row>
    <row r="477" ht="12" customHeight="1" spans="1:16">
      <c r="A477" s="14"/>
      <c r="B477" s="15"/>
      <c r="C477" s="23">
        <v>25</v>
      </c>
      <c r="D477" s="16"/>
      <c r="E477" s="17">
        <v>0</v>
      </c>
      <c r="F477" s="17"/>
      <c r="G477" s="17">
        <v>0</v>
      </c>
      <c r="H477" s="16"/>
      <c r="I477" s="17"/>
      <c r="J477" s="17"/>
      <c r="K477" s="17"/>
      <c r="L477" s="17"/>
      <c r="M477" s="22"/>
      <c r="N477" s="17"/>
      <c r="O477" s="22"/>
      <c r="P477" s="19">
        <f t="shared" si="77"/>
        <v>0</v>
      </c>
    </row>
    <row r="478" ht="12" customHeight="1" spans="1:16">
      <c r="A478" s="14">
        <v>235</v>
      </c>
      <c r="B478" s="15" t="s">
        <v>250</v>
      </c>
      <c r="C478" s="25"/>
      <c r="D478" s="16">
        <v>0</v>
      </c>
      <c r="E478" s="17"/>
      <c r="F478" s="17">
        <v>0</v>
      </c>
      <c r="G478" s="17"/>
      <c r="H478" s="16"/>
      <c r="I478" s="17"/>
      <c r="J478" s="17"/>
      <c r="K478" s="17"/>
      <c r="L478" s="17"/>
      <c r="M478" s="22"/>
      <c r="N478" s="17"/>
      <c r="O478" s="22"/>
      <c r="P478" s="19"/>
    </row>
    <row r="479" ht="12" customHeight="1" spans="1:16">
      <c r="A479" s="14"/>
      <c r="B479" s="15"/>
      <c r="C479" s="18">
        <v>25</v>
      </c>
      <c r="D479" s="16"/>
      <c r="E479" s="17">
        <v>0</v>
      </c>
      <c r="F479" s="17"/>
      <c r="G479" s="17">
        <v>0</v>
      </c>
      <c r="H479" s="16"/>
      <c r="I479" s="17"/>
      <c r="J479" s="17"/>
      <c r="K479" s="17"/>
      <c r="L479" s="17"/>
      <c r="M479" s="22"/>
      <c r="N479" s="17"/>
      <c r="O479" s="22"/>
      <c r="P479" s="19">
        <f t="shared" si="77"/>
        <v>0</v>
      </c>
    </row>
    <row r="480" ht="12" customHeight="1" spans="1:16">
      <c r="A480" s="14">
        <v>236</v>
      </c>
      <c r="B480" s="15" t="s">
        <v>251</v>
      </c>
      <c r="C480" s="18"/>
      <c r="D480" s="16">
        <v>0</v>
      </c>
      <c r="E480" s="17"/>
      <c r="F480" s="17">
        <v>0</v>
      </c>
      <c r="G480" s="17"/>
      <c r="H480" s="16"/>
      <c r="I480" s="17"/>
      <c r="J480" s="17"/>
      <c r="K480" s="17"/>
      <c r="L480" s="17"/>
      <c r="M480" s="22"/>
      <c r="N480" s="17"/>
      <c r="O480" s="22"/>
      <c r="P480" s="19"/>
    </row>
    <row r="481" ht="12" customHeight="1" spans="1:16">
      <c r="A481" s="14"/>
      <c r="B481" s="15"/>
      <c r="C481" s="18">
        <v>25</v>
      </c>
      <c r="D481" s="16"/>
      <c r="E481" s="24">
        <v>0</v>
      </c>
      <c r="F481" s="17"/>
      <c r="G481" s="24">
        <v>0</v>
      </c>
      <c r="H481" s="16"/>
      <c r="I481" s="24"/>
      <c r="J481" s="17"/>
      <c r="K481" s="24"/>
      <c r="L481" s="17"/>
      <c r="M481" s="24"/>
      <c r="N481" s="17"/>
      <c r="O481" s="24"/>
      <c r="P481" s="19">
        <f t="shared" ref="P481:P485" si="78">I481+K481-M481-O481</f>
        <v>0</v>
      </c>
    </row>
    <row r="482" ht="12" customHeight="1" spans="1:16">
      <c r="A482" s="14">
        <v>237</v>
      </c>
      <c r="B482" s="15" t="s">
        <v>252</v>
      </c>
      <c r="C482" s="18"/>
      <c r="D482" s="16">
        <v>0</v>
      </c>
      <c r="E482" s="26"/>
      <c r="F482" s="17">
        <v>0</v>
      </c>
      <c r="G482" s="26"/>
      <c r="H482" s="16"/>
      <c r="I482" s="26"/>
      <c r="J482" s="17"/>
      <c r="K482" s="26"/>
      <c r="L482" s="17"/>
      <c r="M482" s="26"/>
      <c r="N482" s="17"/>
      <c r="O482" s="26"/>
      <c r="P482" s="19"/>
    </row>
    <row r="483" ht="12" customHeight="1" spans="1:16">
      <c r="A483" s="14"/>
      <c r="B483" s="15"/>
      <c r="C483" s="23">
        <v>25</v>
      </c>
      <c r="D483" s="16"/>
      <c r="E483" s="17">
        <v>0</v>
      </c>
      <c r="F483" s="17"/>
      <c r="G483" s="17">
        <v>0</v>
      </c>
      <c r="H483" s="16"/>
      <c r="I483" s="17"/>
      <c r="J483" s="17"/>
      <c r="K483" s="17"/>
      <c r="L483" s="17"/>
      <c r="M483" s="22"/>
      <c r="N483" s="17"/>
      <c r="O483" s="22"/>
      <c r="P483" s="19">
        <f t="shared" si="78"/>
        <v>0</v>
      </c>
    </row>
    <row r="484" ht="12" customHeight="1" spans="1:16">
      <c r="A484" s="14">
        <v>238</v>
      </c>
      <c r="B484" s="15" t="s">
        <v>253</v>
      </c>
      <c r="C484" s="25"/>
      <c r="D484" s="16">
        <v>0</v>
      </c>
      <c r="E484" s="17"/>
      <c r="F484" s="17">
        <v>0</v>
      </c>
      <c r="G484" s="17"/>
      <c r="H484" s="16"/>
      <c r="I484" s="17"/>
      <c r="J484" s="17"/>
      <c r="K484" s="17"/>
      <c r="L484" s="17"/>
      <c r="M484" s="22"/>
      <c r="N484" s="17"/>
      <c r="O484" s="22"/>
      <c r="P484" s="19"/>
    </row>
    <row r="485" ht="12" customHeight="1" spans="1:16">
      <c r="A485" s="14"/>
      <c r="B485" s="15"/>
      <c r="C485" s="18">
        <v>25</v>
      </c>
      <c r="D485" s="16"/>
      <c r="E485" s="17">
        <v>0</v>
      </c>
      <c r="F485" s="17"/>
      <c r="G485" s="17">
        <v>0</v>
      </c>
      <c r="H485" s="16"/>
      <c r="I485" s="17"/>
      <c r="J485" s="17"/>
      <c r="K485" s="17"/>
      <c r="L485" s="17"/>
      <c r="M485" s="22"/>
      <c r="N485" s="17"/>
      <c r="O485" s="22"/>
      <c r="P485" s="19">
        <f t="shared" si="78"/>
        <v>0</v>
      </c>
    </row>
    <row r="486" ht="12" customHeight="1" spans="1:16">
      <c r="A486" s="14">
        <v>239</v>
      </c>
      <c r="B486" s="15" t="s">
        <v>254</v>
      </c>
      <c r="C486" s="18"/>
      <c r="D486" s="16">
        <v>0</v>
      </c>
      <c r="E486" s="17"/>
      <c r="F486" s="17">
        <v>0</v>
      </c>
      <c r="G486" s="17"/>
      <c r="H486" s="16"/>
      <c r="I486" s="17"/>
      <c r="J486" s="17"/>
      <c r="K486" s="17"/>
      <c r="L486" s="17"/>
      <c r="M486" s="22"/>
      <c r="N486" s="17"/>
      <c r="O486" s="22"/>
      <c r="P486" s="19"/>
    </row>
    <row r="487" ht="12" customHeight="1" spans="1:16">
      <c r="A487" s="14"/>
      <c r="B487" s="15"/>
      <c r="C487" s="18">
        <v>25</v>
      </c>
      <c r="D487" s="16"/>
      <c r="E487" s="17">
        <v>0</v>
      </c>
      <c r="F487" s="17"/>
      <c r="G487" s="17">
        <v>0</v>
      </c>
      <c r="H487" s="16"/>
      <c r="I487" s="17"/>
      <c r="J487" s="17"/>
      <c r="K487" s="17"/>
      <c r="L487" s="17"/>
      <c r="M487" s="22"/>
      <c r="N487" s="17"/>
      <c r="O487" s="22"/>
      <c r="P487" s="19">
        <f t="shared" ref="P487:P491" si="79">I487+K487-M487-O487</f>
        <v>0</v>
      </c>
    </row>
    <row r="488" ht="12" customHeight="1" spans="1:16">
      <c r="A488" s="14">
        <v>240</v>
      </c>
      <c r="B488" s="15" t="s">
        <v>255</v>
      </c>
      <c r="C488" s="18"/>
      <c r="D488" s="16">
        <v>0</v>
      </c>
      <c r="E488" s="17"/>
      <c r="F488" s="17">
        <v>0</v>
      </c>
      <c r="G488" s="17"/>
      <c r="H488" s="16"/>
      <c r="I488" s="17"/>
      <c r="J488" s="17"/>
      <c r="K488" s="17"/>
      <c r="L488" s="17"/>
      <c r="M488" s="22"/>
      <c r="N488" s="17"/>
      <c r="O488" s="22"/>
      <c r="P488" s="19"/>
    </row>
    <row r="489" ht="12" customHeight="1" spans="1:16">
      <c r="A489" s="14"/>
      <c r="B489" s="15"/>
      <c r="C489" s="23">
        <v>25</v>
      </c>
      <c r="D489" s="16"/>
      <c r="E489" s="17">
        <v>0</v>
      </c>
      <c r="F489" s="17"/>
      <c r="G489" s="17">
        <v>0</v>
      </c>
      <c r="H489" s="16"/>
      <c r="I489" s="17"/>
      <c r="J489" s="17"/>
      <c r="K489" s="17"/>
      <c r="L489" s="17"/>
      <c r="M489" s="22"/>
      <c r="N489" s="17"/>
      <c r="O489" s="22"/>
      <c r="P489" s="19">
        <f t="shared" si="79"/>
        <v>0</v>
      </c>
    </row>
    <row r="490" ht="12" customHeight="1" spans="1:16">
      <c r="A490" s="14">
        <v>241</v>
      </c>
      <c r="B490" s="15" t="s">
        <v>256</v>
      </c>
      <c r="C490" s="25"/>
      <c r="D490" s="16">
        <v>0</v>
      </c>
      <c r="E490" s="17"/>
      <c r="F490" s="17">
        <v>0</v>
      </c>
      <c r="G490" s="17"/>
      <c r="H490" s="16"/>
      <c r="I490" s="17"/>
      <c r="J490" s="17"/>
      <c r="K490" s="17"/>
      <c r="L490" s="17"/>
      <c r="M490" s="22"/>
      <c r="N490" s="17"/>
      <c r="O490" s="22"/>
      <c r="P490" s="19"/>
    </row>
    <row r="491" ht="12" customHeight="1" spans="1:16">
      <c r="A491" s="14"/>
      <c r="B491" s="15"/>
      <c r="C491" s="18">
        <v>25</v>
      </c>
      <c r="D491" s="16"/>
      <c r="E491" s="17">
        <v>0</v>
      </c>
      <c r="F491" s="17"/>
      <c r="G491" s="17">
        <v>0</v>
      </c>
      <c r="H491" s="16"/>
      <c r="I491" s="17"/>
      <c r="J491" s="17"/>
      <c r="K491" s="17"/>
      <c r="L491" s="17"/>
      <c r="M491" s="22"/>
      <c r="N491" s="17"/>
      <c r="O491" s="22"/>
      <c r="P491" s="19">
        <f t="shared" si="79"/>
        <v>0</v>
      </c>
    </row>
    <row r="492" ht="12" customHeight="1" spans="1:16">
      <c r="A492" s="14">
        <v>242</v>
      </c>
      <c r="B492" s="15" t="s">
        <v>257</v>
      </c>
      <c r="C492" s="18"/>
      <c r="D492" s="16">
        <v>0</v>
      </c>
      <c r="E492" s="17"/>
      <c r="F492" s="17">
        <v>0</v>
      </c>
      <c r="G492" s="17"/>
      <c r="H492" s="16"/>
      <c r="I492" s="17"/>
      <c r="J492" s="17"/>
      <c r="K492" s="17"/>
      <c r="L492" s="17"/>
      <c r="M492" s="22"/>
      <c r="N492" s="17"/>
      <c r="O492" s="22"/>
      <c r="P492" s="19"/>
    </row>
    <row r="493" ht="12" customHeight="1" spans="1:16">
      <c r="A493" s="14"/>
      <c r="B493" s="15"/>
      <c r="C493" s="18">
        <v>25</v>
      </c>
      <c r="D493" s="16"/>
      <c r="E493" s="17">
        <v>0</v>
      </c>
      <c r="F493" s="17"/>
      <c r="G493" s="17">
        <v>0</v>
      </c>
      <c r="H493" s="16"/>
      <c r="I493" s="17"/>
      <c r="J493" s="17"/>
      <c r="K493" s="17"/>
      <c r="L493" s="17"/>
      <c r="M493" s="22"/>
      <c r="N493" s="17"/>
      <c r="O493" s="22"/>
      <c r="P493" s="19">
        <f t="shared" ref="P493:P497" si="80">I493+K493-M493-O493</f>
        <v>0</v>
      </c>
    </row>
    <row r="494" ht="12" customHeight="1" spans="1:16">
      <c r="A494" s="14">
        <v>243</v>
      </c>
      <c r="B494" s="15" t="s">
        <v>258</v>
      </c>
      <c r="C494" s="18"/>
      <c r="D494" s="16">
        <v>0</v>
      </c>
      <c r="E494" s="17"/>
      <c r="F494" s="17">
        <v>0</v>
      </c>
      <c r="G494" s="17"/>
      <c r="H494" s="16"/>
      <c r="I494" s="17"/>
      <c r="J494" s="17"/>
      <c r="K494" s="17"/>
      <c r="L494" s="17"/>
      <c r="M494" s="22"/>
      <c r="N494" s="17"/>
      <c r="O494" s="22"/>
      <c r="P494" s="19"/>
    </row>
    <row r="495" ht="12" customHeight="1" spans="1:16">
      <c r="A495" s="14"/>
      <c r="B495" s="15"/>
      <c r="C495" s="23">
        <v>25</v>
      </c>
      <c r="D495" s="16"/>
      <c r="E495" s="17">
        <v>0</v>
      </c>
      <c r="F495" s="17"/>
      <c r="G495" s="17">
        <v>0</v>
      </c>
      <c r="H495" s="16"/>
      <c r="I495" s="17"/>
      <c r="J495" s="17"/>
      <c r="K495" s="17"/>
      <c r="L495" s="17"/>
      <c r="M495" s="22"/>
      <c r="N495" s="17"/>
      <c r="O495" s="22"/>
      <c r="P495" s="19">
        <f t="shared" si="80"/>
        <v>0</v>
      </c>
    </row>
    <row r="496" ht="12" customHeight="1" spans="1:16">
      <c r="A496" s="14">
        <v>244</v>
      </c>
      <c r="B496" s="15" t="s">
        <v>259</v>
      </c>
      <c r="C496" s="25"/>
      <c r="D496" s="16">
        <v>0</v>
      </c>
      <c r="E496" s="17"/>
      <c r="F496" s="17">
        <v>0</v>
      </c>
      <c r="G496" s="17"/>
      <c r="H496" s="16"/>
      <c r="I496" s="17"/>
      <c r="J496" s="17"/>
      <c r="K496" s="17"/>
      <c r="L496" s="17"/>
      <c r="M496" s="22"/>
      <c r="N496" s="17"/>
      <c r="O496" s="22"/>
      <c r="P496" s="19"/>
    </row>
    <row r="497" ht="12" customHeight="1" spans="1:16">
      <c r="A497" s="14"/>
      <c r="B497" s="15"/>
      <c r="C497" s="18">
        <v>25</v>
      </c>
      <c r="D497" s="16"/>
      <c r="E497" s="17">
        <v>0</v>
      </c>
      <c r="F497" s="17"/>
      <c r="G497" s="17">
        <v>0</v>
      </c>
      <c r="H497" s="16"/>
      <c r="I497" s="17"/>
      <c r="J497" s="17"/>
      <c r="K497" s="17"/>
      <c r="L497" s="17"/>
      <c r="M497" s="22"/>
      <c r="N497" s="17"/>
      <c r="O497" s="22"/>
      <c r="P497" s="19">
        <f t="shared" si="80"/>
        <v>0</v>
      </c>
    </row>
    <row r="498" ht="12" customHeight="1" spans="1:16">
      <c r="A498" s="14">
        <v>245</v>
      </c>
      <c r="B498" s="15" t="s">
        <v>260</v>
      </c>
      <c r="C498" s="18"/>
      <c r="D498" s="16">
        <v>0</v>
      </c>
      <c r="E498" s="17"/>
      <c r="F498" s="17">
        <v>0</v>
      </c>
      <c r="G498" s="17"/>
      <c r="H498" s="16"/>
      <c r="I498" s="17"/>
      <c r="J498" s="17"/>
      <c r="K498" s="17"/>
      <c r="L498" s="17"/>
      <c r="M498" s="22"/>
      <c r="N498" s="17"/>
      <c r="O498" s="22"/>
      <c r="P498" s="19"/>
    </row>
    <row r="499" ht="12" customHeight="1" spans="1:16">
      <c r="A499" s="14"/>
      <c r="B499" s="15"/>
      <c r="C499" s="18"/>
      <c r="D499" s="16"/>
      <c r="E499" s="17"/>
      <c r="F499" s="17"/>
      <c r="G499" s="17"/>
      <c r="H499" s="16"/>
      <c r="I499" s="17"/>
      <c r="J499" s="17"/>
      <c r="K499" s="17"/>
      <c r="L499" s="17"/>
      <c r="M499" s="22"/>
      <c r="N499" s="17"/>
      <c r="O499" s="22"/>
      <c r="P499" s="19"/>
    </row>
    <row r="500" ht="27" customHeight="1" spans="1:16">
      <c r="A500" s="27">
        <v>246</v>
      </c>
      <c r="B500" s="28" t="s">
        <v>261</v>
      </c>
      <c r="C500" s="29"/>
      <c r="D500" s="30"/>
      <c r="E500" s="31">
        <f t="shared" ref="E500:I500" si="81">SUM(E10:E499)</f>
        <v>302339.23</v>
      </c>
      <c r="F500" s="30"/>
      <c r="G500" s="31">
        <f t="shared" si="81"/>
        <v>39792.56</v>
      </c>
      <c r="H500" s="31"/>
      <c r="I500" s="31">
        <f t="shared" si="81"/>
        <v>0</v>
      </c>
      <c r="J500" s="31"/>
      <c r="K500" s="31">
        <f>SUM(K10:K499)</f>
        <v>0</v>
      </c>
      <c r="L500" s="31"/>
      <c r="M500" s="31">
        <f t="shared" ref="M500:P500" si="82">SUM(M34:M362)</f>
        <v>0</v>
      </c>
      <c r="N500" s="31"/>
      <c r="O500" s="31">
        <f t="shared" si="82"/>
        <v>0</v>
      </c>
      <c r="P500" s="32">
        <f t="shared" si="82"/>
        <v>0</v>
      </c>
    </row>
    <row r="501" ht="14.4" spans="1:16">
      <c r="A501" s="33" t="s">
        <v>262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3"/>
    </row>
    <row r="502" s="2" customFormat="1" ht="14.4" spans="1:16">
      <c r="A502" s="35" t="s">
        <v>263</v>
      </c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ht="14.4" spans="1:16">
      <c r="A503" s="34" t="s">
        <v>264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4.4" spans="1:16">
      <c r="A504" s="35" t="s">
        <v>265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ht="14.4" spans="1:16">
      <c r="A505" s="35" t="s">
        <v>266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ht="14.4" spans="1:16">
      <c r="A506" s="34" t="s">
        <v>267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4.4" spans="1:16">
      <c r="A507" s="34" t="s">
        <v>289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30" customHeight="1" spans="1:16">
      <c r="A508" s="36" t="s">
        <v>269</v>
      </c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</row>
    <row r="509" ht="14.4" spans="1:1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</row>
  </sheetData>
  <mergeCells count="3932">
    <mergeCell ref="A5:P5"/>
    <mergeCell ref="A6:P6"/>
    <mergeCell ref="D7:G7"/>
    <mergeCell ref="H7:K7"/>
    <mergeCell ref="L7:O7"/>
    <mergeCell ref="D8:E8"/>
    <mergeCell ref="F8:G8"/>
    <mergeCell ref="H8:I8"/>
    <mergeCell ref="J8:K8"/>
    <mergeCell ref="L8:M8"/>
    <mergeCell ref="N8:O8"/>
    <mergeCell ref="A502:P502"/>
    <mergeCell ref="A504:P504"/>
    <mergeCell ref="A505:P505"/>
    <mergeCell ref="A7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B7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C7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P7:P9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A1:P2"/>
    <mergeCell ref="A3:P4"/>
  </mergeCells>
  <printOptions horizontalCentered="1"/>
  <pageMargins left="0.700694444444445" right="0.700694444444445" top="0.751388888888889" bottom="0.751388888888889" header="0.298611111111111" footer="0.298611111111111"/>
  <pageSetup paperSize="9" scale="7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1级淤泥</vt:lpstr>
      <vt:lpstr>2级淤泥 </vt:lpstr>
      <vt:lpstr>3级淤泥  </vt:lpstr>
      <vt:lpstr>1级填土</vt:lpstr>
      <vt:lpstr>5级粘土</vt:lpstr>
      <vt:lpstr>4级填土 </vt:lpstr>
      <vt:lpstr>3级粘土</vt:lpstr>
      <vt:lpstr>4级粘土</vt:lpstr>
      <vt:lpstr>6级砂</vt:lpstr>
      <vt:lpstr>7级砂</vt:lpstr>
      <vt:lpstr>8级砂</vt:lpstr>
      <vt:lpstr>6级碎石</vt:lpstr>
      <vt:lpstr>9级碎石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&lt;4D6963726F736F667420576F7264202D20BABDB5C0CAE8BFA3B9A4B3CCC1BFBCC6CBE3B1ED2E646F63&gt;</dc:title>
  <dc:creator>dell</dc:creator>
  <cp:lastModifiedBy>训教</cp:lastModifiedBy>
  <dcterms:created xsi:type="dcterms:W3CDTF">2026-01-22T14:58:00Z</dcterms:created>
  <dcterms:modified xsi:type="dcterms:W3CDTF">2026-03-19T01:42:01Z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2ECE41AB08CF4D879026F879DCBA658C_13</vt:lpwstr>
  </property>
  <property fmtid="{D5CDD505-2E9C-101B-9397-08002B2CF9AE}" pid="5" name="CalculationRule">
    <vt:i4>0</vt:i4>
  </property>
</Properties>
</file>